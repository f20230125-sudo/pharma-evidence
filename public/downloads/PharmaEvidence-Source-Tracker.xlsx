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shboard" sheetId="2" state="visible" r:id="rId2"/>
    <sheet name="Versions" sheetId="3" state="visible" r:id="rId3"/>
    <sheet name="Section changes" sheetId="4" state="visible" r:id="rId4"/>
    <sheet name="Benchmark fixtures" sheetId="5" state="visible" r:id="rId5"/>
  </sheets>
  <definedNames>
    <definedName name="_xlnm._FilterDatabase" localSheetId="0" hidden="1">'Read me'!$A$1:$B$9</definedName>
    <definedName name="_xlnm._FilterDatabase" localSheetId="1" hidden="1">'Dashboard'!$A$1:$B$9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234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Source section changes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'Dashboard'!$A$3:$A$7</f>
            </numRef>
          </cat>
          <val>
            <numRef>
              <f>'Dashboard'!$B$3:$B$7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Versions" displayName="SourceVersions" ref="A1:L5" headerRowCount="1">
  <autoFilter ref="A1:L5"/>
  <tableColumns count="12">
    <tableColumn id="1" name="id"/>
    <tableColumn id="2" name="product"/>
    <tableColumn id="3" name="version"/>
    <tableColumn id="4" name="published"/>
    <tableColumn id="5" name="effectiveDate"/>
    <tableColumn id="6" name="url"/>
    <tableColumn id="7" name="downloadUrl"/>
    <tableColumn id="8" name="file"/>
    <tableColumn id="9" name="sha256"/>
    <tableColumn id="10" name="bytes"/>
    <tableColumn id="11" name="applicationVerified"/>
    <tableColumn id="12" name="authority"/>
  </tableColumns>
  <tableStyleInfo name="TableStyleMedium4" showRowStripes="1"/>
</table>
</file>

<file path=xl/tables/table2.xml><?xml version="1.0" encoding="utf-8"?>
<table xmlns="http://schemas.openxmlformats.org/spreadsheetml/2006/main" id="2" name="SectionChanges" displayName="SectionChanges" ref="A1:H94" headerRowCount="1">
  <autoFilter ref="A1:H94"/>
  <tableColumns count="8">
    <tableColumn id="1" name="product"/>
    <tableColumn id="2" name="key"/>
    <tableColumn id="3" name="title"/>
    <tableColumn id="4" name="kind"/>
    <tableColumn id="5" name="beforeId"/>
    <tableColumn id="6" name="afterId"/>
    <tableColumn id="7" name="beforeUrl"/>
    <tableColumn id="8" name="afterUrl"/>
  </tableColumns>
  <tableStyleInfo name="TableStyleMedium4" showRowStripes="1"/>
</table>
</file>

<file path=xl/tables/table3.xml><?xml version="1.0" encoding="utf-8"?>
<table xmlns="http://schemas.openxmlformats.org/spreadsheetml/2006/main" id="3" name="ClaimFixtures" displayName="ClaimFixtures" ref="A1:G121" headerRowCount="1">
  <autoFilter ref="A1:G121"/>
  <tableColumns count="7">
    <tableColumn id="1" name="case_id"/>
    <tableColumn id="2" name="family"/>
    <tableColumn id="3" name="split"/>
    <tableColumn id="4" name="product"/>
    <tableColumn id="5" name="claim"/>
    <tableColumn id="6" name="expected_supported"/>
    <tableColumn id="7" name="evidence_id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PharmaEvidence | Source and review tracker</t>
        </is>
      </c>
      <c r="B1" s="1" t="n"/>
    </row>
    <row r="2" ht="32" customHeight="1">
      <c r="A2" s="2" t="inlineStr">
        <is>
          <t>Snapshot</t>
        </is>
      </c>
      <c r="B2" s="3" t="inlineStr">
        <is>
          <t>2026-10-16</t>
        </is>
      </c>
    </row>
    <row r="3" ht="32" customHeight="1">
      <c r="A3" s="2" t="inlineStr">
        <is>
          <t>Scope</t>
        </is>
      </c>
      <c r="B3" s="3" t="inlineStr">
        <is>
          <t>Public US sources; two MSD products; fictional drafts; human review required.</t>
        </is>
      </c>
    </row>
    <row r="4" ht="32" customHeight="1">
      <c r="A4" s="2" t="inlineStr">
        <is>
          <t>Authority</t>
        </is>
      </c>
      <c r="B4" s="3" t="inlineStr">
        <is>
          <t>DailyMed is manufacturer-submitted in-use labeling. Full FDA-approved-text equivalence is not asserted.</t>
        </is>
      </c>
    </row>
    <row r="5" ht="32" customHeight="1">
      <c r="A5" s="2" t="inlineStr">
        <is>
          <t>Formulas</t>
        </is>
      </c>
      <c r="B5" s="3" t="inlineStr">
        <is>
          <t>Dashboard formulas count the actual registry and section-change tables. No sales or time-savings claims.</t>
        </is>
      </c>
    </row>
    <row r="6" ht="32" customHeight="1">
      <c r="A6" s="2" t="inlineStr">
        <is>
          <t>Privacy</t>
        </is>
      </c>
      <c r="B6" s="3" t="inlineStr">
        <is>
          <t>Browser review events are not included. Export them from the app to analyze your own local decisions.</t>
        </is>
      </c>
    </row>
    <row r="7" ht="32" customHeight="1">
      <c r="A7" s="2" t="inlineStr">
        <is>
          <t>Benchmark</t>
        </is>
      </c>
      <c r="B7" s="3" t="inlineStr">
        <is>
          <t>Authored fixtures, not expert-adjudicated regulatory/medical ground truth.</t>
        </is>
      </c>
    </row>
    <row r="8" ht="32" customHeight="1">
      <c r="A8" s="2" t="inlineStr">
        <is>
          <t>Source pipeline</t>
        </is>
      </c>
      <c r="B8" s="3" t="inlineStr">
        <is>
          <t>python pipeline/build.py &amp;&amp; python pipeline/benchmark.py &amp;&amp; python pipeline/exports.py</t>
        </is>
      </c>
    </row>
    <row r="9" ht="32" customHeight="1">
      <c r="A9" s="2" t="inlineStr">
        <is>
          <t>Power BI</t>
        </is>
      </c>
      <c r="B9" s="3" t="inlineStr">
        <is>
          <t>Import source_versions.csv, section_changes.csv and exported review_events.csv. See powerbi/README.md.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9" customWidth="1" min="2" max="2"/>
  </cols>
  <sheetData>
    <row r="1">
      <c r="A1" s="1" t="inlineStr">
        <is>
          <t>SOURCE SNAPSHOT</t>
        </is>
      </c>
      <c r="B1" s="1" t="inlineStr">
        <is>
          <t>Count</t>
        </is>
      </c>
    </row>
    <row r="2">
      <c r="A2" s="2" t="inlineStr">
        <is>
          <t>Genuine source versions</t>
        </is>
      </c>
      <c r="B2" s="2">
        <f>COUNTA(SourceVersions[id])</f>
        <v/>
      </c>
    </row>
    <row r="3">
      <c r="A3" s="2" t="inlineStr">
        <is>
          <t>Changed sections</t>
        </is>
      </c>
      <c r="B3" s="2">
        <f>COUNTIF(SectionChanges[kind],"modified")</f>
        <v/>
      </c>
    </row>
    <row r="4">
      <c r="A4" s="2" t="inlineStr">
        <is>
          <t>Added sections</t>
        </is>
      </c>
      <c r="B4" s="2">
        <f>COUNTIF(SectionChanges[kind],"added")</f>
        <v/>
      </c>
    </row>
    <row r="5">
      <c r="A5" s="2" t="inlineStr">
        <is>
          <t>Removed sections</t>
        </is>
      </c>
      <c r="B5" s="2">
        <f>COUNTIF(SectionChanges[kind],"removed")</f>
        <v/>
      </c>
    </row>
    <row r="6">
      <c r="A6" s="2" t="inlineStr">
        <is>
          <t>Unchanged sections</t>
        </is>
      </c>
      <c r="B6" s="2">
        <f>COUNTIF(SectionChanges[kind],"unchanged")</f>
        <v/>
      </c>
    </row>
    <row r="7">
      <c r="A7" s="2" t="inlineStr">
        <is>
          <t>Reference-only changes</t>
        </is>
      </c>
      <c r="B7" s="2">
        <f>COUNTIF(SectionChanges[kind],"reference-only")</f>
        <v/>
      </c>
    </row>
    <row r="8">
      <c r="A8" s="2" t="inlineStr">
        <is>
          <t>Authored benchmark cases</t>
        </is>
      </c>
      <c r="B8" s="2">
        <f>COUNTA(ClaimFixtures[case_id])</f>
        <v/>
      </c>
    </row>
    <row r="9">
      <c r="A9" s="2" t="inlineStr">
        <is>
          <t>Held-out cases</t>
        </is>
      </c>
      <c r="B9" s="2">
        <f>COUNTIF(ClaimFixtures[split],"holdout")</f>
        <v/>
      </c>
    </row>
  </sheetData>
  <autoFilter ref="A1:B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65" customWidth="1" min="6" max="6"/>
    <col width="65" customWidth="1" min="7" max="7"/>
    <col width="28" customWidth="1" min="8" max="8"/>
    <col width="65" customWidth="1" min="9" max="9"/>
    <col width="15" customWidth="1" min="10" max="10"/>
    <col width="21" customWidth="1" min="11" max="11"/>
    <col width="65" customWidth="1" min="12" max="12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version</t>
        </is>
      </c>
      <c r="D1" s="1" t="inlineStr">
        <is>
          <t>published</t>
        </is>
      </c>
      <c r="E1" s="1" t="inlineStr">
        <is>
          <t>effectiveDate</t>
        </is>
      </c>
      <c r="F1" s="1" t="inlineStr">
        <is>
          <t>url</t>
        </is>
      </c>
      <c r="G1" s="1" t="inlineStr">
        <is>
          <t>downloadUrl</t>
        </is>
      </c>
      <c r="H1" s="1" t="inlineStr">
        <is>
          <t>file</t>
        </is>
      </c>
      <c r="I1" s="1" t="inlineStr">
        <is>
          <t>sha256</t>
        </is>
      </c>
      <c r="J1" s="1" t="inlineStr">
        <is>
          <t>bytes</t>
        </is>
      </c>
      <c r="K1" s="1" t="inlineStr">
        <is>
          <t>applicationVerified</t>
        </is>
      </c>
      <c r="L1" s="1" t="inlineStr">
        <is>
          <t>authority</t>
        </is>
      </c>
    </row>
    <row r="2">
      <c r="A2" s="2" t="inlineStr">
        <is>
          <t>winrevair-v8</t>
        </is>
      </c>
      <c r="B2" s="2" t="inlineStr">
        <is>
          <t>winrevair</t>
        </is>
      </c>
      <c r="C2" s="2" t="inlineStr">
        <is>
          <t>8</t>
        </is>
      </c>
      <c r="D2" s="2" t="inlineStr">
        <is>
          <t>Mar 24, 2026</t>
        </is>
      </c>
      <c r="E2" s="2" t="inlineStr">
        <is>
          <t>20251208</t>
        </is>
      </c>
      <c r="F2" s="2" t="inlineStr">
        <is>
          <t>https://dailymed.nlm.nih.gov/dailymed/lookup.cfm?setid=21693ee2-cd23-4137-ac67-066bb3a4a9b7&amp;version=8</t>
        </is>
      </c>
      <c r="G2" s="2" t="inlineStr">
        <is>
          <t>https://dailymed.nlm.nih.gov/dailymed/getFile.cfm?setid=21693ee2-cd23-4137-ac67-066bb3a4a9b7&amp;type=zip&amp;version=8</t>
        </is>
      </c>
      <c r="H2" s="2" t="inlineStr">
        <is>
          <t>data/raw/winrevair-v8.xml</t>
        </is>
      </c>
      <c r="I2" s="2" t="inlineStr">
        <is>
          <t>85e23afc40c6db59fd3bb9e51f278a775c38cecc2e5f8a08ed844d0dba4f9951</t>
        </is>
      </c>
      <c r="J2" s="2" t="inlineStr">
        <is>
          <t>388352</t>
        </is>
      </c>
      <c r="K2" s="2" t="inlineStr">
        <is>
          <t>True</t>
        </is>
      </c>
      <c r="L2" s="2" t="inlineStr">
        <is>
          <t>DailyMed manufacturer-submitted in-use labeling; not a verification of current FDA-approved text</t>
        </is>
      </c>
    </row>
    <row r="3">
      <c r="A3" s="2" t="inlineStr">
        <is>
          <t>winrevair-v13</t>
        </is>
      </c>
      <c r="B3" s="2" t="inlineStr">
        <is>
          <t>winrevair</t>
        </is>
      </c>
      <c r="C3" s="2" t="inlineStr">
        <is>
          <t>13</t>
        </is>
      </c>
      <c r="D3" s="2" t="inlineStr">
        <is>
          <t>Oct 08, 2026</t>
        </is>
      </c>
      <c r="E3" s="2" t="inlineStr">
        <is>
          <t>20260921</t>
        </is>
      </c>
      <c r="F3" s="2" t="inlineStr">
        <is>
          <t>https://dailymed.nlm.nih.gov/dailymed/lookup.cfm?setid=21693ee2-cd23-4137-ac67-066bb3a4a9b7&amp;version=13</t>
        </is>
      </c>
      <c r="G3" s="2" t="inlineStr">
        <is>
          <t>https://dailymed.nlm.nih.gov/dailymed/getFile.cfm?setid=21693ee2-cd23-4137-ac67-066bb3a4a9b7&amp;type=zip&amp;version=13</t>
        </is>
      </c>
      <c r="H3" s="2" t="inlineStr">
        <is>
          <t>data/raw/winrevair-v13.xml</t>
        </is>
      </c>
      <c r="I3" s="2" t="inlineStr">
        <is>
          <t>42a953c158597a22852c7e572ad8051b7d9e593e1275a5109072ceb2af108d3f</t>
        </is>
      </c>
      <c r="J3" s="2" t="inlineStr">
        <is>
          <t>408527</t>
        </is>
      </c>
      <c r="K3" s="2" t="inlineStr">
        <is>
          <t>True</t>
        </is>
      </c>
      <c r="L3" s="2" t="inlineStr">
        <is>
          <t>DailyMed manufacturer-submitted in-use labeling; not a verification of current FDA-approved text</t>
        </is>
      </c>
    </row>
    <row r="4">
      <c r="A4" s="2" t="inlineStr">
        <is>
          <t>keytruda-v219</t>
        </is>
      </c>
      <c r="B4" s="2" t="inlineStr">
        <is>
          <t>keytruda</t>
        </is>
      </c>
      <c r="C4" s="2" t="inlineStr">
        <is>
          <t>219</t>
        </is>
      </c>
      <c r="D4" s="2" t="inlineStr">
        <is>
          <t>Dec 08, 2025</t>
        </is>
      </c>
      <c r="E4" s="2" t="inlineStr">
        <is>
          <t>20251121</t>
        </is>
      </c>
      <c r="F4" s="2" t="inlineStr">
        <is>
          <t>https://dailymed.nlm.nih.gov/dailymed/lookup.cfm?setid=9333c79b-d487-4538-a9f0-71b91a02b287&amp;version=219</t>
        </is>
      </c>
      <c r="G4" s="2" t="inlineStr">
        <is>
          <t>https://dailymed.nlm.nih.gov/dailymed/getFile.cfm?setid=9333c79b-d487-4538-a9f0-71b91a02b287&amp;type=zip&amp;version=219</t>
        </is>
      </c>
      <c r="H4" s="2" t="inlineStr">
        <is>
          <t>data/raw/keytruda-v219.xml</t>
        </is>
      </c>
      <c r="I4" s="2" t="inlineStr">
        <is>
          <t>c32fa41d363dd6a1b74a922dc20e24fd9c6153790d402db4b37cf7fae61ca81b</t>
        </is>
      </c>
      <c r="J4" s="2" t="inlineStr">
        <is>
          <t>1544404</t>
        </is>
      </c>
      <c r="K4" s="2" t="inlineStr">
        <is>
          <t>True</t>
        </is>
      </c>
      <c r="L4" s="2" t="inlineStr">
        <is>
          <t>DailyMed manufacturer-submitted in-use labeling; not a verification of current FDA-approved text</t>
        </is>
      </c>
    </row>
    <row r="5">
      <c r="A5" s="2" t="inlineStr">
        <is>
          <t>keytruda-v228</t>
        </is>
      </c>
      <c r="B5" s="2" t="inlineStr">
        <is>
          <t>keytruda</t>
        </is>
      </c>
      <c r="C5" s="2" t="inlineStr">
        <is>
          <t>228</t>
        </is>
      </c>
      <c r="D5" s="2" t="inlineStr">
        <is>
          <t>Jul 24, 2026</t>
        </is>
      </c>
      <c r="E5" s="2" t="inlineStr">
        <is>
          <t>20260710</t>
        </is>
      </c>
      <c r="F5" s="2" t="inlineStr">
        <is>
          <t>https://dailymed.nlm.nih.gov/dailymed/lookup.cfm?setid=9333c79b-d487-4538-a9f0-71b91a02b287&amp;version=228</t>
        </is>
      </c>
      <c r="G5" s="2" t="inlineStr">
        <is>
          <t>https://dailymed.nlm.nih.gov/dailymed/getFile.cfm?setid=9333c79b-d487-4538-a9f0-71b91a02b287&amp;type=zip&amp;version=228</t>
        </is>
      </c>
      <c r="H5" s="2" t="inlineStr">
        <is>
          <t>data/raw/keytruda-v228.xml</t>
        </is>
      </c>
      <c r="I5" s="2" t="inlineStr">
        <is>
          <t>3466c0b01ec7d6c1e18365872ca2147e59b7d05e87f06a27661e3b37f0c5c692</t>
        </is>
      </c>
      <c r="J5" s="2" t="inlineStr">
        <is>
          <t>1649932</t>
        </is>
      </c>
      <c r="K5" s="2" t="inlineStr">
        <is>
          <t>True</t>
        </is>
      </c>
      <c r="L5" s="2" t="inlineStr">
        <is>
          <t>DailyMed manufacturer-submitted in-use labeling; not a verification of current FDA-approved text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65" customWidth="1" min="3" max="3"/>
    <col width="16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>
      <c r="A1" s="1" t="inlineStr">
        <is>
          <t>product</t>
        </is>
      </c>
      <c r="B1" s="1" t="inlineStr">
        <is>
          <t>key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beforeId</t>
        </is>
      </c>
      <c r="F1" s="1" t="inlineStr">
        <is>
          <t>afterId</t>
        </is>
      </c>
      <c r="G1" s="1" t="inlineStr">
        <is>
          <t>beforeUrl</t>
        </is>
      </c>
      <c r="H1" s="1" t="inlineStr">
        <is>
          <t>afterUrl</t>
        </is>
      </c>
    </row>
    <row r="2">
      <c r="A2" s="2" t="inlineStr">
        <is>
          <t>winrevair</t>
        </is>
      </c>
      <c r="B2" s="2" t="inlineStr">
        <is>
          <t>1-indicationsandusage</t>
        </is>
      </c>
      <c r="C2" s="2" t="inlineStr">
        <is>
          <t>1 INDICATIONS AND USAGE</t>
        </is>
      </c>
      <c r="D2" s="2" t="inlineStr">
        <is>
          <t>unchanged</t>
        </is>
      </c>
      <c r="E2" s="2" t="inlineStr">
        <is>
          <t>winrevair-v8:1-indicationsandusage</t>
        </is>
      </c>
      <c r="F2" s="2" t="inlineStr">
        <is>
          <t>winrevair-v13:1-indicationsandusage</t>
        </is>
      </c>
      <c r="G2" s="2" t="inlineStr">
        <is>
          <t>https://dailymed.nlm.nih.gov/dailymed/lookup.cfm?setid=21693ee2-cd23-4137-ac67-066bb3a4a9b7&amp;version=8#S1</t>
        </is>
      </c>
      <c r="H2" s="2" t="inlineStr">
        <is>
          <t>https://dailymed.nlm.nih.gov/dailymed/lookup.cfm?setid=21693ee2-cd23-4137-ac67-066bb3a4a9b7&amp;version=13#S1</t>
        </is>
      </c>
    </row>
    <row r="3">
      <c r="A3" s="2" t="inlineStr">
        <is>
          <t>winrevair</t>
        </is>
      </c>
      <c r="B3" s="2" t="inlineStr">
        <is>
          <t>10-overdosage</t>
        </is>
      </c>
      <c r="C3" s="2" t="inlineStr">
        <is>
          <t>10 OVERDOSAGE</t>
        </is>
      </c>
      <c r="D3" s="2" t="inlineStr">
        <is>
          <t>unchanged</t>
        </is>
      </c>
      <c r="E3" s="2" t="inlineStr">
        <is>
          <t>winrevair-v8:10-overdosage</t>
        </is>
      </c>
      <c r="F3" s="2" t="inlineStr">
        <is>
          <t>winrevair-v13:10-overdosage</t>
        </is>
      </c>
      <c r="G3" s="2" t="inlineStr">
        <is>
          <t>https://dailymed.nlm.nih.gov/dailymed/lookup.cfm?setid=21693ee2-cd23-4137-ac67-066bb3a4a9b7&amp;version=8#S10</t>
        </is>
      </c>
      <c r="H3" s="2" t="inlineStr">
        <is>
          <t>https://dailymed.nlm.nih.gov/dailymed/lookup.cfm?setid=21693ee2-cd23-4137-ac67-066bb3a4a9b7&amp;version=13#S10</t>
        </is>
      </c>
    </row>
    <row r="4">
      <c r="A4" s="2" t="inlineStr">
        <is>
          <t>winrevair</t>
        </is>
      </c>
      <c r="B4" s="2" t="inlineStr">
        <is>
          <t>11-description</t>
        </is>
      </c>
      <c r="C4" s="2" t="inlineStr">
        <is>
          <t>11 DESCRIPTION</t>
        </is>
      </c>
      <c r="D4" s="2" t="inlineStr">
        <is>
          <t>unchanged</t>
        </is>
      </c>
      <c r="E4" s="2" t="inlineStr">
        <is>
          <t>winrevair-v8:11-description</t>
        </is>
      </c>
      <c r="F4" s="2" t="inlineStr">
        <is>
          <t>winrevair-v13:11-description</t>
        </is>
      </c>
      <c r="G4" s="2" t="inlineStr">
        <is>
          <t>https://dailymed.nlm.nih.gov/dailymed/lookup.cfm?setid=21693ee2-cd23-4137-ac67-066bb3a4a9b7&amp;version=8#S11</t>
        </is>
      </c>
      <c r="H4" s="2" t="inlineStr">
        <is>
          <t>https://dailymed.nlm.nih.gov/dailymed/lookup.cfm?setid=21693ee2-cd23-4137-ac67-066bb3a4a9b7&amp;version=13#S11</t>
        </is>
      </c>
    </row>
    <row r="5">
      <c r="A5" s="2" t="inlineStr">
        <is>
          <t>winrevair</t>
        </is>
      </c>
      <c r="B5" s="2" t="inlineStr">
        <is>
          <t>12-immunogenicity</t>
        </is>
      </c>
      <c r="C5" s="2" t="inlineStr">
        <is>
          <t>12.6 Immunogenicity</t>
        </is>
      </c>
      <c r="D5" s="2" t="inlineStr">
        <is>
          <t>modified</t>
        </is>
      </c>
      <c r="E5" s="2" t="inlineStr">
        <is>
          <t>winrevair-v8:12-immunogenicity</t>
        </is>
      </c>
      <c r="F5" s="2" t="inlineStr">
        <is>
          <t>winrevair-v13:12-immunogenicity</t>
        </is>
      </c>
      <c r="G5" s="2" t="inlineStr">
        <is>
          <t>https://dailymed.nlm.nih.gov/dailymed/lookup.cfm?setid=21693ee2-cd23-4137-ac67-066bb3a4a9b7&amp;version=8#S12.6</t>
        </is>
      </c>
      <c r="H5" s="2" t="inlineStr">
        <is>
          <t>https://dailymed.nlm.nih.gov/dailymed/lookup.cfm?setid=21693ee2-cd23-4137-ac67-066bb3a4a9b7&amp;version=13#S12.6</t>
        </is>
      </c>
    </row>
    <row r="6">
      <c r="A6" s="2" t="inlineStr">
        <is>
          <t>winrevair</t>
        </is>
      </c>
      <c r="B6" s="2" t="inlineStr">
        <is>
          <t>12-mechanismofaction</t>
        </is>
      </c>
      <c r="C6" s="2" t="inlineStr">
        <is>
          <t>12.1 Mechanism of Action</t>
        </is>
      </c>
      <c r="D6" s="2" t="inlineStr">
        <is>
          <t>unchanged</t>
        </is>
      </c>
      <c r="E6" s="2" t="inlineStr">
        <is>
          <t>winrevair-v8:12-mechanismofaction</t>
        </is>
      </c>
      <c r="F6" s="2" t="inlineStr">
        <is>
          <t>winrevair-v13:12-mechanismofaction</t>
        </is>
      </c>
      <c r="G6" s="2" t="inlineStr">
        <is>
          <t>https://dailymed.nlm.nih.gov/dailymed/lookup.cfm?setid=21693ee2-cd23-4137-ac67-066bb3a4a9b7&amp;version=8#S12.1</t>
        </is>
      </c>
      <c r="H6" s="2" t="inlineStr">
        <is>
          <t>https://dailymed.nlm.nih.gov/dailymed/lookup.cfm?setid=21693ee2-cd23-4137-ac67-066bb3a4a9b7&amp;version=13#S12.1</t>
        </is>
      </c>
    </row>
    <row r="7">
      <c r="A7" s="2" t="inlineStr">
        <is>
          <t>winrevair</t>
        </is>
      </c>
      <c r="B7" s="2" t="inlineStr">
        <is>
          <t>12-pharmacodynamics</t>
        </is>
      </c>
      <c r="C7" s="2" t="inlineStr">
        <is>
          <t>12.2 Pharmacodynamics</t>
        </is>
      </c>
      <c r="D7" s="2" t="inlineStr">
        <is>
          <t>modified</t>
        </is>
      </c>
      <c r="E7" s="2" t="inlineStr">
        <is>
          <t>winrevair-v8:12-pharmacodynamics</t>
        </is>
      </c>
      <c r="F7" s="2" t="inlineStr">
        <is>
          <t>winrevair-v13:12-pharmacodynamics</t>
        </is>
      </c>
      <c r="G7" s="2" t="inlineStr">
        <is>
          <t>https://dailymed.nlm.nih.gov/dailymed/lookup.cfm?setid=21693ee2-cd23-4137-ac67-066bb3a4a9b7&amp;version=8#S12.2</t>
        </is>
      </c>
      <c r="H7" s="2" t="inlineStr">
        <is>
          <t>https://dailymed.nlm.nih.gov/dailymed/lookup.cfm?setid=21693ee2-cd23-4137-ac67-066bb3a4a9b7&amp;version=13#S12.2</t>
        </is>
      </c>
    </row>
    <row r="8">
      <c r="A8" s="2" t="inlineStr">
        <is>
          <t>winrevair</t>
        </is>
      </c>
      <c r="B8" s="2" t="inlineStr">
        <is>
          <t>12-pharmacokinetics</t>
        </is>
      </c>
      <c r="C8" s="2" t="inlineStr">
        <is>
          <t>12.3 Pharmacokinetics</t>
        </is>
      </c>
      <c r="D8" s="2" t="inlineStr">
        <is>
          <t>modified</t>
        </is>
      </c>
      <c r="E8" s="2" t="inlineStr">
        <is>
          <t>winrevair-v8:12-pharmacokinetics</t>
        </is>
      </c>
      <c r="F8" s="2" t="inlineStr">
        <is>
          <t>winrevair-v13:12-pharmacokinetics</t>
        </is>
      </c>
      <c r="G8" s="2" t="inlineStr">
        <is>
          <t>https://dailymed.nlm.nih.gov/dailymed/lookup.cfm?setid=21693ee2-cd23-4137-ac67-066bb3a4a9b7&amp;version=8#S12.3</t>
        </is>
      </c>
      <c r="H8" s="2" t="inlineStr">
        <is>
          <t>https://dailymed.nlm.nih.gov/dailymed/lookup.cfm?setid=21693ee2-cd23-4137-ac67-066bb3a4a9b7&amp;version=13#S12.3</t>
        </is>
      </c>
    </row>
    <row r="9">
      <c r="A9" s="2" t="inlineStr">
        <is>
          <t>winrevair</t>
        </is>
      </c>
      <c r="B9" s="2" t="inlineStr">
        <is>
          <t>13-carcinogenesismutagenesisimpairmentoffertility</t>
        </is>
      </c>
      <c r="C9" s="2" t="inlineStr">
        <is>
          <t>13.1 Carcinogenesis, Mutagenesis, Impairment of Fertility</t>
        </is>
      </c>
      <c r="D9" s="2" t="inlineStr">
        <is>
          <t>unchanged</t>
        </is>
      </c>
      <c r="E9" s="2" t="inlineStr">
        <is>
          <t>winrevair-v8:13-carcinogenesismutagenesisimpairmentoffertility</t>
        </is>
      </c>
      <c r="F9" s="2" t="inlineStr">
        <is>
          <t>winrevair-v13:13-carcinogenesismutagenesisimpairmentoffertility</t>
        </is>
      </c>
      <c r="G9" s="2" t="inlineStr">
        <is>
          <t>https://dailymed.nlm.nih.gov/dailymed/lookup.cfm?setid=21693ee2-cd23-4137-ac67-066bb3a4a9b7&amp;version=8#S13.1</t>
        </is>
      </c>
      <c r="H9" s="2" t="inlineStr">
        <is>
          <t>https://dailymed.nlm.nih.gov/dailymed/lookup.cfm?setid=21693ee2-cd23-4137-ac67-066bb3a4a9b7&amp;version=13#S13.1</t>
        </is>
      </c>
    </row>
    <row r="10">
      <c r="A10" s="2" t="inlineStr">
        <is>
          <t>winrevair</t>
        </is>
      </c>
      <c r="B10" s="2" t="inlineStr">
        <is>
          <t>14-pulmonaryarterialhypertension</t>
        </is>
      </c>
      <c r="C10" s="2" t="inlineStr">
        <is>
          <t>14.1 Pulmonary Arterial Hypertension</t>
        </is>
      </c>
      <c r="D10" s="2" t="inlineStr">
        <is>
          <t>modified</t>
        </is>
      </c>
      <c r="E10" s="2" t="inlineStr">
        <is>
          <t>winrevair-v8:14-pulmonaryarterialhypertension</t>
        </is>
      </c>
      <c r="F10" s="2" t="inlineStr">
        <is>
          <t>winrevair-v13:14-pulmonaryarterialhypertension</t>
        </is>
      </c>
      <c r="G10" s="2" t="inlineStr">
        <is>
          <t>https://dailymed.nlm.nih.gov/dailymed/lookup.cfm?setid=21693ee2-cd23-4137-ac67-066bb3a4a9b7&amp;version=8#S14.1</t>
        </is>
      </c>
      <c r="H10" s="2" t="inlineStr">
        <is>
          <t>https://dailymed.nlm.nih.gov/dailymed/lookup.cfm?setid=21693ee2-cd23-4137-ac67-066bb3a4a9b7&amp;version=13#S14.1</t>
        </is>
      </c>
    </row>
    <row r="11">
      <c r="A11" s="2" t="inlineStr">
        <is>
          <t>winrevair</t>
        </is>
      </c>
      <c r="B11" s="2" t="inlineStr">
        <is>
          <t>16-howsupplied</t>
        </is>
      </c>
      <c r="C11" s="2" t="inlineStr">
        <is>
          <t>16.1 How Supplied</t>
        </is>
      </c>
      <c r="D11" s="2" t="inlineStr">
        <is>
          <t>modified</t>
        </is>
      </c>
      <c r="E11" s="2" t="inlineStr">
        <is>
          <t>winrevair-v8:16-howsupplied</t>
        </is>
      </c>
      <c r="F11" s="2" t="inlineStr">
        <is>
          <t>winrevair-v13:16-howsupplied</t>
        </is>
      </c>
      <c r="G11" s="2" t="inlineStr">
        <is>
          <t>https://dailymed.nlm.nih.gov/dailymed/lookup.cfm?setid=21693ee2-cd23-4137-ac67-066bb3a4a9b7&amp;version=8#S16.1</t>
        </is>
      </c>
      <c r="H11" s="2" t="inlineStr">
        <is>
          <t>https://dailymed.nlm.nih.gov/dailymed/lookup.cfm?setid=21693ee2-cd23-4137-ac67-066bb3a4a9b7&amp;version=13#S16.1</t>
        </is>
      </c>
    </row>
    <row r="12">
      <c r="A12" s="2" t="inlineStr">
        <is>
          <t>winrevair</t>
        </is>
      </c>
      <c r="B12" s="2" t="inlineStr">
        <is>
          <t>16-storageandhandling</t>
        </is>
      </c>
      <c r="C12" s="2" t="inlineStr">
        <is>
          <t>16.2 Storage and Handling</t>
        </is>
      </c>
      <c r="D12" s="2" t="inlineStr">
        <is>
          <t>unchanged</t>
        </is>
      </c>
      <c r="E12" s="2" t="inlineStr">
        <is>
          <t>winrevair-v8:16-storageandhandling</t>
        </is>
      </c>
      <c r="F12" s="2" t="inlineStr">
        <is>
          <t>winrevair-v13:16-storageandhandling</t>
        </is>
      </c>
      <c r="G12" s="2" t="inlineStr">
        <is>
          <t>https://dailymed.nlm.nih.gov/dailymed/lookup.cfm?setid=21693ee2-cd23-4137-ac67-066bb3a4a9b7&amp;version=8#S16.2</t>
        </is>
      </c>
      <c r="H12" s="2" t="inlineStr">
        <is>
          <t>https://dailymed.nlm.nih.gov/dailymed/lookup.cfm?setid=21693ee2-cd23-4137-ac67-066bb3a4a9b7&amp;version=13#S16.2</t>
        </is>
      </c>
    </row>
    <row r="13">
      <c r="A13" s="2" t="inlineStr">
        <is>
          <t>winrevair</t>
        </is>
      </c>
      <c r="B13" s="2" t="inlineStr">
        <is>
          <t>17-patientcounselinginformation</t>
        </is>
      </c>
      <c r="C13" s="2" t="inlineStr">
        <is>
          <t>17 PATIENT COUNSELING INFORMATION</t>
        </is>
      </c>
      <c r="D13" s="2" t="inlineStr">
        <is>
          <t>modified</t>
        </is>
      </c>
      <c r="E13" s="2" t="inlineStr">
        <is>
          <t>winrevair-v8:17-patientcounselinginformation</t>
        </is>
      </c>
      <c r="F13" s="2" t="inlineStr">
        <is>
          <t>winrevair-v13:17-patientcounselinginformation</t>
        </is>
      </c>
      <c r="G13" s="2" t="inlineStr">
        <is>
          <t>https://dailymed.nlm.nih.gov/dailymed/lookup.cfm?setid=21693ee2-cd23-4137-ac67-066bb3a4a9b7&amp;version=8#S17</t>
        </is>
      </c>
      <c r="H13" s="2" t="inlineStr">
        <is>
          <t>https://dailymed.nlm.nih.gov/dailymed/lookup.cfm?setid=21693ee2-cd23-4137-ac67-066bb3a4a9b7&amp;version=13#S17</t>
        </is>
      </c>
    </row>
    <row r="14">
      <c r="A14" s="2" t="inlineStr">
        <is>
          <t>winrevair</t>
        </is>
      </c>
      <c r="B14" s="2" t="inlineStr">
        <is>
          <t>2-dosagemodificationsduetohemoglobinincreaseorplateletcountdecrease</t>
        </is>
      </c>
      <c r="C14" s="2" t="inlineStr">
        <is>
          <t>2.3 Dosage Modifications Due to Hemoglobin Increase or Platelet Count Decrease</t>
        </is>
      </c>
      <c r="D14" s="2" t="inlineStr">
        <is>
          <t>reference-only</t>
        </is>
      </c>
      <c r="E14" s="2" t="inlineStr">
        <is>
          <t>winrevair-v8:2-dosagemodificationsduetohemoglobinincreaseorplateletcountdecrease</t>
        </is>
      </c>
      <c r="F14" s="2" t="inlineStr">
        <is>
          <t>winrevair-v13:2-dosagemodificationsduetohemoglobinincreaseorplateletcountdecrease</t>
        </is>
      </c>
      <c r="G14" s="2" t="inlineStr">
        <is>
          <t>https://dailymed.nlm.nih.gov/dailymed/lookup.cfm?setid=21693ee2-cd23-4137-ac67-066bb3a4a9b7&amp;version=8#S2.3</t>
        </is>
      </c>
      <c r="H14" s="2" t="inlineStr">
        <is>
          <t>https://dailymed.nlm.nih.gov/dailymed/lookup.cfm?setid=21693ee2-cd23-4137-ac67-066bb3a4a9b7&amp;version=13#S2.3</t>
        </is>
      </c>
    </row>
    <row r="15">
      <c r="A15" s="2" t="inlineStr">
        <is>
          <t>winrevair</t>
        </is>
      </c>
      <c r="B15" s="2" t="inlineStr">
        <is>
          <t>2-preparationandadministration</t>
        </is>
      </c>
      <c r="C15" s="2" t="inlineStr">
        <is>
          <t>2.4 Preparation and Administration</t>
        </is>
      </c>
      <c r="D15" s="2" t="inlineStr">
        <is>
          <t>reference-only</t>
        </is>
      </c>
      <c r="E15" s="2" t="inlineStr">
        <is>
          <t>winrevair-v8:2-preparationandadministration</t>
        </is>
      </c>
      <c r="F15" s="2" t="inlineStr">
        <is>
          <t>winrevair-v13:2-preparationandadministration</t>
        </is>
      </c>
      <c r="G15" s="2" t="inlineStr">
        <is>
          <t>https://dailymed.nlm.nih.gov/dailymed/lookup.cfm?setid=21693ee2-cd23-4137-ac67-066bb3a4a9b7&amp;version=8#S2.4</t>
        </is>
      </c>
      <c r="H15" s="2" t="inlineStr">
        <is>
          <t>https://dailymed.nlm.nih.gov/dailymed/lookup.cfm?setid=21693ee2-cd23-4137-ac67-066bb3a4a9b7&amp;version=13#S2.4</t>
        </is>
      </c>
    </row>
    <row r="16">
      <c r="A16" s="2" t="inlineStr">
        <is>
          <t>winrevair</t>
        </is>
      </c>
      <c r="B16" s="2" t="inlineStr">
        <is>
          <t>2-recommendedstartingdosage</t>
        </is>
      </c>
      <c r="C16" s="2" t="inlineStr">
        <is>
          <t>2.1 Recommended Starting Dosage</t>
        </is>
      </c>
      <c r="D16" s="2" t="inlineStr">
        <is>
          <t>unchanged</t>
        </is>
      </c>
      <c r="E16" s="2" t="inlineStr">
        <is>
          <t>winrevair-v8:2-recommendedstartingdosage</t>
        </is>
      </c>
      <c r="F16" s="2" t="inlineStr">
        <is>
          <t>winrevair-v13:2-recommendedstartingdosage</t>
        </is>
      </c>
      <c r="G16" s="2" t="inlineStr">
        <is>
          <t>https://dailymed.nlm.nih.gov/dailymed/lookup.cfm?setid=21693ee2-cd23-4137-ac67-066bb3a4a9b7&amp;version=8#S2.1</t>
        </is>
      </c>
      <c r="H16" s="2" t="inlineStr">
        <is>
          <t>https://dailymed.nlm.nih.gov/dailymed/lookup.cfm?setid=21693ee2-cd23-4137-ac67-066bb3a4a9b7&amp;version=13#S2.1</t>
        </is>
      </c>
    </row>
    <row r="17">
      <c r="A17" s="2" t="inlineStr">
        <is>
          <t>winrevair</t>
        </is>
      </c>
      <c r="B17" s="2" t="inlineStr">
        <is>
          <t>2-recommendedtargetdosage</t>
        </is>
      </c>
      <c r="C17" s="2" t="inlineStr">
        <is>
          <t>2.2 Recommended Target Dosage</t>
        </is>
      </c>
      <c r="D17" s="2" t="inlineStr">
        <is>
          <t>unchanged</t>
        </is>
      </c>
      <c r="E17" s="2" t="inlineStr">
        <is>
          <t>winrevair-v8:2-recommendedtargetdosage</t>
        </is>
      </c>
      <c r="F17" s="2" t="inlineStr">
        <is>
          <t>winrevair-v13:2-recommendedtargetdosage</t>
        </is>
      </c>
      <c r="G17" s="2" t="inlineStr">
        <is>
          <t>https://dailymed.nlm.nih.gov/dailymed/lookup.cfm?setid=21693ee2-cd23-4137-ac67-066bb3a4a9b7&amp;version=8#S2.2</t>
        </is>
      </c>
      <c r="H17" s="2" t="inlineStr">
        <is>
          <t>https://dailymed.nlm.nih.gov/dailymed/lookup.cfm?setid=21693ee2-cd23-4137-ac67-066bb3a4a9b7&amp;version=13#S2.2</t>
        </is>
      </c>
    </row>
    <row r="18">
      <c r="A18" s="2" t="inlineStr">
        <is>
          <t>winrevair</t>
        </is>
      </c>
      <c r="B18" s="2" t="inlineStr">
        <is>
          <t>3-dosageformsandstrengths</t>
        </is>
      </c>
      <c r="C18" s="2" t="inlineStr">
        <is>
          <t>3 DOSAGE FORMS AND STRENGTHS</t>
        </is>
      </c>
      <c r="D18" s="2" t="inlineStr">
        <is>
          <t>unchanged</t>
        </is>
      </c>
      <c r="E18" s="2" t="inlineStr">
        <is>
          <t>winrevair-v8:3-dosageformsandstrengths</t>
        </is>
      </c>
      <c r="F18" s="2" t="inlineStr">
        <is>
          <t>winrevair-v13:3-dosageformsandstrengths</t>
        </is>
      </c>
      <c r="G18" s="2" t="inlineStr">
        <is>
          <t>https://dailymed.nlm.nih.gov/dailymed/lookup.cfm?setid=21693ee2-cd23-4137-ac67-066bb3a4a9b7&amp;version=8#S3</t>
        </is>
      </c>
      <c r="H18" s="2" t="inlineStr">
        <is>
          <t>https://dailymed.nlm.nih.gov/dailymed/lookup.cfm?setid=21693ee2-cd23-4137-ac67-066bb3a4a9b7&amp;version=13#S3</t>
        </is>
      </c>
    </row>
    <row r="19">
      <c r="A19" s="2" t="inlineStr">
        <is>
          <t>winrevair</t>
        </is>
      </c>
      <c r="B19" s="2" t="inlineStr">
        <is>
          <t>4-contraindications</t>
        </is>
      </c>
      <c r="C19" s="2" t="inlineStr">
        <is>
          <t>4 CONTRAINDICATIONS</t>
        </is>
      </c>
      <c r="D19" s="2" t="inlineStr">
        <is>
          <t>removed</t>
        </is>
      </c>
      <c r="E19" s="2" t="inlineStr">
        <is>
          <t>winrevair-v8:4-contraindications</t>
        </is>
      </c>
      <c r="F19" s="2" t="inlineStr"/>
      <c r="G19" s="2" t="inlineStr">
        <is>
          <t>https://dailymed.nlm.nih.gov/dailymed/lookup.cfm?setid=21693ee2-cd23-4137-ac67-066bb3a4a9b7&amp;version=8#S4</t>
        </is>
      </c>
      <c r="H19" s="2" t="inlineStr">
        <is>
          <t>https://dailymed.nlm.nih.gov/dailymed/lookup.cfm?setid=21693ee2-cd23-4137-ac67-066bb3a4a9b7&amp;version=13</t>
        </is>
      </c>
    </row>
    <row r="20">
      <c r="A20" s="2" t="inlineStr">
        <is>
          <t>winrevair</t>
        </is>
      </c>
      <c r="B20" s="2" t="inlineStr">
        <is>
          <t>4-hypersensitivity</t>
        </is>
      </c>
      <c r="C20" s="2" t="inlineStr">
        <is>
          <t>4.1 Hypersensitivity</t>
        </is>
      </c>
      <c r="D20" s="2" t="inlineStr">
        <is>
          <t>added</t>
        </is>
      </c>
      <c r="E20" s="2" t="inlineStr"/>
      <c r="F20" s="2" t="inlineStr">
        <is>
          <t>winrevair-v13:4-hypersensitivity</t>
        </is>
      </c>
      <c r="G20" s="2" t="inlineStr">
        <is>
          <t>https://dailymed.nlm.nih.gov/dailymed/lookup.cfm?setid=21693ee2-cd23-4137-ac67-066bb3a4a9b7&amp;version=8</t>
        </is>
      </c>
      <c r="H20" s="2" t="inlineStr">
        <is>
          <t>https://dailymed.nlm.nih.gov/dailymed/lookup.cfm?setid=21693ee2-cd23-4137-ac67-066bb3a4a9b7&amp;version=13#S4.1</t>
        </is>
      </c>
    </row>
    <row r="21">
      <c r="A21" s="2" t="inlineStr">
        <is>
          <t>winrevair</t>
        </is>
      </c>
      <c r="B21" s="2" t="inlineStr">
        <is>
          <t>5-embryofetaltoxicity</t>
        </is>
      </c>
      <c r="C21" s="2" t="inlineStr">
        <is>
          <t>5.5 Embryo-Fetal Toxicity</t>
        </is>
      </c>
      <c r="D21" s="2" t="inlineStr">
        <is>
          <t>unchanged</t>
        </is>
      </c>
      <c r="E21" s="2" t="inlineStr">
        <is>
          <t>winrevair-v8:5-embryofetaltoxicity</t>
        </is>
      </c>
      <c r="F21" s="2" t="inlineStr">
        <is>
          <t>winrevair-v13:5-embryofetaltoxicity</t>
        </is>
      </c>
      <c r="G21" s="2" t="inlineStr">
        <is>
          <t>https://dailymed.nlm.nih.gov/dailymed/lookup.cfm?setid=21693ee2-cd23-4137-ac67-066bb3a4a9b7&amp;version=8#S5.4</t>
        </is>
      </c>
      <c r="H21" s="2" t="inlineStr">
        <is>
          <t>https://dailymed.nlm.nih.gov/dailymed/lookup.cfm?setid=21693ee2-cd23-4137-ac67-066bb3a4a9b7&amp;version=13#S5.5</t>
        </is>
      </c>
    </row>
    <row r="22">
      <c r="A22" s="2" t="inlineStr">
        <is>
          <t>winrevair</t>
        </is>
      </c>
      <c r="B22" s="2" t="inlineStr">
        <is>
          <t>5-erythrocytosis</t>
        </is>
      </c>
      <c r="C22" s="2" t="inlineStr">
        <is>
          <t>5.2 Erythrocytosis</t>
        </is>
      </c>
      <c r="D22" s="2" t="inlineStr">
        <is>
          <t>unchanged</t>
        </is>
      </c>
      <c r="E22" s="2" t="inlineStr">
        <is>
          <t>winrevair-v8:5-erythrocytosis</t>
        </is>
      </c>
      <c r="F22" s="2" t="inlineStr">
        <is>
          <t>winrevair-v13:5-erythrocytosis</t>
        </is>
      </c>
      <c r="G22" s="2" t="inlineStr">
        <is>
          <t>https://dailymed.nlm.nih.gov/dailymed/lookup.cfm?setid=21693ee2-cd23-4137-ac67-066bb3a4a9b7&amp;version=8#S5.1</t>
        </is>
      </c>
      <c r="H22" s="2" t="inlineStr">
        <is>
          <t>https://dailymed.nlm.nih.gov/dailymed/lookup.cfm?setid=21693ee2-cd23-4137-ac67-066bb3a4a9b7&amp;version=13#S5.2</t>
        </is>
      </c>
    </row>
    <row r="23">
      <c r="A23" s="2" t="inlineStr">
        <is>
          <t>winrevair</t>
        </is>
      </c>
      <c r="B23" s="2" t="inlineStr">
        <is>
          <t>5-hypersensitivity</t>
        </is>
      </c>
      <c r="C23" s="2" t="inlineStr">
        <is>
          <t>5.1 Hypersensitivity</t>
        </is>
      </c>
      <c r="D23" s="2" t="inlineStr">
        <is>
          <t>added</t>
        </is>
      </c>
      <c r="E23" s="2" t="inlineStr"/>
      <c r="F23" s="2" t="inlineStr">
        <is>
          <t>winrevair-v13:5-hypersensitivity</t>
        </is>
      </c>
      <c r="G23" s="2" t="inlineStr">
        <is>
          <t>https://dailymed.nlm.nih.gov/dailymed/lookup.cfm?setid=21693ee2-cd23-4137-ac67-066bb3a4a9b7&amp;version=8</t>
        </is>
      </c>
      <c r="H23" s="2" t="inlineStr">
        <is>
          <t>https://dailymed.nlm.nih.gov/dailymed/lookup.cfm?setid=21693ee2-cd23-4137-ac67-066bb3a4a9b7&amp;version=13#S5.1</t>
        </is>
      </c>
    </row>
    <row r="24">
      <c r="A24" s="2" t="inlineStr">
        <is>
          <t>winrevair</t>
        </is>
      </c>
      <c r="B24" s="2" t="inlineStr">
        <is>
          <t>5-impairedfertility</t>
        </is>
      </c>
      <c r="C24" s="2" t="inlineStr">
        <is>
          <t>5.6 Impaired Fertility</t>
        </is>
      </c>
      <c r="D24" s="2" t="inlineStr">
        <is>
          <t>unchanged</t>
        </is>
      </c>
      <c r="E24" s="2" t="inlineStr">
        <is>
          <t>winrevair-v8:5-impairedfertility</t>
        </is>
      </c>
      <c r="F24" s="2" t="inlineStr">
        <is>
          <t>winrevair-v13:5-impairedfertility</t>
        </is>
      </c>
      <c r="G24" s="2" t="inlineStr">
        <is>
          <t>https://dailymed.nlm.nih.gov/dailymed/lookup.cfm?setid=21693ee2-cd23-4137-ac67-066bb3a4a9b7&amp;version=8#S5.5</t>
        </is>
      </c>
      <c r="H24" s="2" t="inlineStr">
        <is>
          <t>https://dailymed.nlm.nih.gov/dailymed/lookup.cfm?setid=21693ee2-cd23-4137-ac67-066bb3a4a9b7&amp;version=13#S5.6</t>
        </is>
      </c>
    </row>
    <row r="25">
      <c r="A25" s="2" t="inlineStr">
        <is>
          <t>winrevair</t>
        </is>
      </c>
      <c r="B25" s="2" t="inlineStr">
        <is>
          <t>5-seriousbleeding</t>
        </is>
      </c>
      <c r="C25" s="2" t="inlineStr">
        <is>
          <t>5.4 Serious Bleeding</t>
        </is>
      </c>
      <c r="D25" s="2" t="inlineStr">
        <is>
          <t>modified</t>
        </is>
      </c>
      <c r="E25" s="2" t="inlineStr">
        <is>
          <t>winrevair-v8:5-seriousbleeding</t>
        </is>
      </c>
      <c r="F25" s="2" t="inlineStr">
        <is>
          <t>winrevair-v13:5-seriousbleeding</t>
        </is>
      </c>
      <c r="G25" s="2" t="inlineStr">
        <is>
          <t>https://dailymed.nlm.nih.gov/dailymed/lookup.cfm?setid=21693ee2-cd23-4137-ac67-066bb3a4a9b7&amp;version=8#S5.3</t>
        </is>
      </c>
      <c r="H25" s="2" t="inlineStr">
        <is>
          <t>https://dailymed.nlm.nih.gov/dailymed/lookup.cfm?setid=21693ee2-cd23-4137-ac67-066bb3a4a9b7&amp;version=13#S5.4</t>
        </is>
      </c>
    </row>
    <row r="26">
      <c r="A26" s="2" t="inlineStr">
        <is>
          <t>winrevair</t>
        </is>
      </c>
      <c r="B26" s="2" t="inlineStr">
        <is>
          <t>5-severethrombocytopenia</t>
        </is>
      </c>
      <c r="C26" s="2" t="inlineStr">
        <is>
          <t>5.3 Severe Thrombocytopenia</t>
        </is>
      </c>
      <c r="D26" s="2" t="inlineStr">
        <is>
          <t>unchanged</t>
        </is>
      </c>
      <c r="E26" s="2" t="inlineStr">
        <is>
          <t>winrevair-v8:5-severethrombocytopenia</t>
        </is>
      </c>
      <c r="F26" s="2" t="inlineStr">
        <is>
          <t>winrevair-v13:5-severethrombocytopenia</t>
        </is>
      </c>
      <c r="G26" s="2" t="inlineStr">
        <is>
          <t>https://dailymed.nlm.nih.gov/dailymed/lookup.cfm?setid=21693ee2-cd23-4137-ac67-066bb3a4a9b7&amp;version=8#S5.2</t>
        </is>
      </c>
      <c r="H26" s="2" t="inlineStr">
        <is>
          <t>https://dailymed.nlm.nih.gov/dailymed/lookup.cfm?setid=21693ee2-cd23-4137-ac67-066bb3a4a9b7&amp;version=13#S5.3</t>
        </is>
      </c>
    </row>
    <row r="27">
      <c r="A27" s="2" t="inlineStr">
        <is>
          <t>winrevair</t>
        </is>
      </c>
      <c r="B27" s="2" t="inlineStr">
        <is>
          <t>6-adversereactions</t>
        </is>
      </c>
      <c r="C27" s="2" t="inlineStr">
        <is>
          <t>6 ADVERSE REACTIONS</t>
        </is>
      </c>
      <c r="D27" s="2" t="inlineStr">
        <is>
          <t>modified</t>
        </is>
      </c>
      <c r="E27" s="2" t="inlineStr">
        <is>
          <t>winrevair-v8:6-adversereactions</t>
        </is>
      </c>
      <c r="F27" s="2" t="inlineStr">
        <is>
          <t>winrevair-v13:6-adversereactions</t>
        </is>
      </c>
      <c r="G27" s="2" t="inlineStr">
        <is>
          <t>https://dailymed.nlm.nih.gov/dailymed/lookup.cfm?setid=21693ee2-cd23-4137-ac67-066bb3a4a9b7&amp;version=8#S6</t>
        </is>
      </c>
      <c r="H27" s="2" t="inlineStr">
        <is>
          <t>https://dailymed.nlm.nih.gov/dailymed/lookup.cfm?setid=21693ee2-cd23-4137-ac67-066bb3a4a9b7&amp;version=13#S6</t>
        </is>
      </c>
    </row>
    <row r="28">
      <c r="A28" s="2" t="inlineStr">
        <is>
          <t>winrevair</t>
        </is>
      </c>
      <c r="B28" s="2" t="inlineStr">
        <is>
          <t>6-clinicaltrialsexperience</t>
        </is>
      </c>
      <c r="C28" s="2" t="inlineStr">
        <is>
          <t>6.1 Clinical Trials Experience</t>
        </is>
      </c>
      <c r="D28" s="2" t="inlineStr">
        <is>
          <t>modified</t>
        </is>
      </c>
      <c r="E28" s="2" t="inlineStr">
        <is>
          <t>winrevair-v8:6-clinicaltrialsexperience</t>
        </is>
      </c>
      <c r="F28" s="2" t="inlineStr">
        <is>
          <t>winrevair-v13:6-clinicaltrialsexperience</t>
        </is>
      </c>
      <c r="G28" s="2" t="inlineStr">
        <is>
          <t>https://dailymed.nlm.nih.gov/dailymed/lookup.cfm?setid=21693ee2-cd23-4137-ac67-066bb3a4a9b7&amp;version=8#S6.1</t>
        </is>
      </c>
      <c r="H28" s="2" t="inlineStr">
        <is>
          <t>https://dailymed.nlm.nih.gov/dailymed/lookup.cfm?setid=21693ee2-cd23-4137-ac67-066bb3a4a9b7&amp;version=13#S6.1</t>
        </is>
      </c>
    </row>
    <row r="29">
      <c r="A29" s="2" t="inlineStr">
        <is>
          <t>winrevair</t>
        </is>
      </c>
      <c r="B29" s="2" t="inlineStr">
        <is>
          <t>6-postmarketingexperience</t>
        </is>
      </c>
      <c r="C29" s="2" t="inlineStr">
        <is>
          <t>6.2 Post-marketing Experience</t>
        </is>
      </c>
      <c r="D29" s="2" t="inlineStr">
        <is>
          <t>modified</t>
        </is>
      </c>
      <c r="E29" s="2" t="inlineStr">
        <is>
          <t>winrevair-v8:6-postmarketingexperience</t>
        </is>
      </c>
      <c r="F29" s="2" t="inlineStr">
        <is>
          <t>winrevair-v13:6-postmarketingexperience</t>
        </is>
      </c>
      <c r="G29" s="2" t="inlineStr">
        <is>
          <t>https://dailymed.nlm.nih.gov/dailymed/lookup.cfm?setid=21693ee2-cd23-4137-ac67-066bb3a4a9b7&amp;version=8#S6.2</t>
        </is>
      </c>
      <c r="H29" s="2" t="inlineStr">
        <is>
          <t>https://dailymed.nlm.nih.gov/dailymed/lookup.cfm?setid=21693ee2-cd23-4137-ac67-066bb3a4a9b7&amp;version=13#S6.2</t>
        </is>
      </c>
    </row>
    <row r="30">
      <c r="A30" s="2" t="inlineStr">
        <is>
          <t>winrevair</t>
        </is>
      </c>
      <c r="B30" s="2" t="inlineStr">
        <is>
          <t>8-femalesandmalesofreproductivepotential</t>
        </is>
      </c>
      <c r="C30" s="2" t="inlineStr">
        <is>
          <t>8.3 Females and Males of Reproductive Potential</t>
        </is>
      </c>
      <c r="D30" s="2" t="inlineStr">
        <is>
          <t>unchanged</t>
        </is>
      </c>
      <c r="E30" s="2" t="inlineStr">
        <is>
          <t>winrevair-v8:8-femalesandmalesofreproductivepotential</t>
        </is>
      </c>
      <c r="F30" s="2" t="inlineStr">
        <is>
          <t>winrevair-v13:8-femalesandmalesofreproductivepotential</t>
        </is>
      </c>
      <c r="G30" s="2" t="inlineStr">
        <is>
          <t>https://dailymed.nlm.nih.gov/dailymed/lookup.cfm?setid=21693ee2-cd23-4137-ac67-066bb3a4a9b7&amp;version=8#S8.3</t>
        </is>
      </c>
      <c r="H30" s="2" t="inlineStr">
        <is>
          <t>https://dailymed.nlm.nih.gov/dailymed/lookup.cfm?setid=21693ee2-cd23-4137-ac67-066bb3a4a9b7&amp;version=13#S8.3</t>
        </is>
      </c>
    </row>
    <row r="31">
      <c r="A31" s="2" t="inlineStr">
        <is>
          <t>winrevair</t>
        </is>
      </c>
      <c r="B31" s="2" t="inlineStr">
        <is>
          <t>8-geriatricuse</t>
        </is>
      </c>
      <c r="C31" s="2" t="inlineStr">
        <is>
          <t>8.5 Geriatric Use</t>
        </is>
      </c>
      <c r="D31" s="2" t="inlineStr">
        <is>
          <t>modified</t>
        </is>
      </c>
      <c r="E31" s="2" t="inlineStr">
        <is>
          <t>winrevair-v8:8-geriatricuse</t>
        </is>
      </c>
      <c r="F31" s="2" t="inlineStr">
        <is>
          <t>winrevair-v13:8-geriatricuse</t>
        </is>
      </c>
      <c r="G31" s="2" t="inlineStr">
        <is>
          <t>https://dailymed.nlm.nih.gov/dailymed/lookup.cfm?setid=21693ee2-cd23-4137-ac67-066bb3a4a9b7&amp;version=8#S8.5</t>
        </is>
      </c>
      <c r="H31" s="2" t="inlineStr">
        <is>
          <t>https://dailymed.nlm.nih.gov/dailymed/lookup.cfm?setid=21693ee2-cd23-4137-ac67-066bb3a4a9b7&amp;version=13#S8.5</t>
        </is>
      </c>
    </row>
    <row r="32">
      <c r="A32" s="2" t="inlineStr">
        <is>
          <t>winrevair</t>
        </is>
      </c>
      <c r="B32" s="2" t="inlineStr">
        <is>
          <t>8-lactation</t>
        </is>
      </c>
      <c r="C32" s="2" t="inlineStr">
        <is>
          <t>8.2 Lactation</t>
        </is>
      </c>
      <c r="D32" s="2" t="inlineStr">
        <is>
          <t>unchanged</t>
        </is>
      </c>
      <c r="E32" s="2" t="inlineStr">
        <is>
          <t>winrevair-v8:8-lactation</t>
        </is>
      </c>
      <c r="F32" s="2" t="inlineStr">
        <is>
          <t>winrevair-v13:8-lactation</t>
        </is>
      </c>
      <c r="G32" s="2" t="inlineStr">
        <is>
          <t>https://dailymed.nlm.nih.gov/dailymed/lookup.cfm?setid=21693ee2-cd23-4137-ac67-066bb3a4a9b7&amp;version=8#S8.2</t>
        </is>
      </c>
      <c r="H32" s="2" t="inlineStr">
        <is>
          <t>https://dailymed.nlm.nih.gov/dailymed/lookup.cfm?setid=21693ee2-cd23-4137-ac67-066bb3a4a9b7&amp;version=13#S8.2</t>
        </is>
      </c>
    </row>
    <row r="33">
      <c r="A33" s="2" t="inlineStr">
        <is>
          <t>winrevair</t>
        </is>
      </c>
      <c r="B33" s="2" t="inlineStr">
        <is>
          <t>8-pediatricuse</t>
        </is>
      </c>
      <c r="C33" s="2" t="inlineStr">
        <is>
          <t>8.4 Pediatric Use</t>
        </is>
      </c>
      <c r="D33" s="2" t="inlineStr">
        <is>
          <t>unchanged</t>
        </is>
      </c>
      <c r="E33" s="2" t="inlineStr">
        <is>
          <t>winrevair-v8:8-pediatricuse</t>
        </is>
      </c>
      <c r="F33" s="2" t="inlineStr">
        <is>
          <t>winrevair-v13:8-pediatricuse</t>
        </is>
      </c>
      <c r="G33" s="2" t="inlineStr">
        <is>
          <t>https://dailymed.nlm.nih.gov/dailymed/lookup.cfm?setid=21693ee2-cd23-4137-ac67-066bb3a4a9b7&amp;version=8#S8.4</t>
        </is>
      </c>
      <c r="H33" s="2" t="inlineStr">
        <is>
          <t>https://dailymed.nlm.nih.gov/dailymed/lookup.cfm?setid=21693ee2-cd23-4137-ac67-066bb3a4a9b7&amp;version=13#S8.4</t>
        </is>
      </c>
    </row>
    <row r="34">
      <c r="A34" s="2" t="inlineStr">
        <is>
          <t>winrevair</t>
        </is>
      </c>
      <c r="B34" s="2" t="inlineStr">
        <is>
          <t>8-pregnancy</t>
        </is>
      </c>
      <c r="C34" s="2" t="inlineStr">
        <is>
          <t>8.1 Pregnancy</t>
        </is>
      </c>
      <c r="D34" s="2" t="inlineStr">
        <is>
          <t>unchanged</t>
        </is>
      </c>
      <c r="E34" s="2" t="inlineStr">
        <is>
          <t>winrevair-v8:8-pregnancy</t>
        </is>
      </c>
      <c r="F34" s="2" t="inlineStr">
        <is>
          <t>winrevair-v13:8-pregnancy</t>
        </is>
      </c>
      <c r="G34" s="2" t="inlineStr">
        <is>
          <t>https://dailymed.nlm.nih.gov/dailymed/lookup.cfm?setid=21693ee2-cd23-4137-ac67-066bb3a4a9b7&amp;version=8#S8.1</t>
        </is>
      </c>
      <c r="H34" s="2" t="inlineStr">
        <is>
          <t>https://dailymed.nlm.nih.gov/dailymed/lookup.cfm?setid=21693ee2-cd23-4137-ac67-066bb3a4a9b7&amp;version=13#S8.1</t>
        </is>
      </c>
    </row>
    <row r="35">
      <c r="A35" s="2" t="inlineStr">
        <is>
          <t>keytruda</t>
        </is>
      </c>
      <c r="B35" s="2" t="inlineStr">
        <is>
          <t>1-biliarytractcancer</t>
        </is>
      </c>
      <c r="C35" s="2" t="inlineStr">
        <is>
          <t>1.14 Biliary Tract Cancer</t>
        </is>
      </c>
      <c r="D35" s="2" t="inlineStr">
        <is>
          <t>unchanged</t>
        </is>
      </c>
      <c r="E35" s="2" t="inlineStr">
        <is>
          <t>keytruda-v219:1-biliarytractcancer</t>
        </is>
      </c>
      <c r="F35" s="2" t="inlineStr">
        <is>
          <t>keytruda-v228:1-biliarytractcancer</t>
        </is>
      </c>
      <c r="G35" s="2" t="inlineStr">
        <is>
          <t>https://dailymed.nlm.nih.gov/dailymed/lookup.cfm?setid=9333c79b-d487-4538-a9f0-71b91a02b287&amp;version=219#S1.14</t>
        </is>
      </c>
      <c r="H35" s="2" t="inlineStr">
        <is>
          <t>https://dailymed.nlm.nih.gov/dailymed/lookup.cfm?setid=9333c79b-d487-4538-a9f0-71b91a02b287&amp;version=228#S1.14</t>
        </is>
      </c>
    </row>
    <row r="36">
      <c r="A36" s="2" t="inlineStr">
        <is>
          <t>keytruda</t>
        </is>
      </c>
      <c r="B36" s="2" t="inlineStr">
        <is>
          <t>1-cervicalcancer</t>
        </is>
      </c>
      <c r="C36" s="2" t="inlineStr">
        <is>
          <t>1.12 Cervical Cancer</t>
        </is>
      </c>
      <c r="D36" s="2" t="inlineStr">
        <is>
          <t>modified</t>
        </is>
      </c>
      <c r="E36" s="2" t="inlineStr">
        <is>
          <t>keytruda-v219:1-cervicalcancer</t>
        </is>
      </c>
      <c r="F36" s="2" t="inlineStr">
        <is>
          <t>keytruda-v228:1-cervicalcancer</t>
        </is>
      </c>
      <c r="G36" s="2" t="inlineStr">
        <is>
          <t>https://dailymed.nlm.nih.gov/dailymed/lookup.cfm?setid=9333c79b-d487-4538-a9f0-71b91a02b287&amp;version=219#S1.12</t>
        </is>
      </c>
      <c r="H36" s="2" t="inlineStr">
        <is>
          <t>https://dailymed.nlm.nih.gov/dailymed/lookup.cfm?setid=9333c79b-d487-4538-a9f0-71b91a02b287&amp;version=228#S1.12</t>
        </is>
      </c>
    </row>
    <row r="37">
      <c r="A37" s="2" t="inlineStr">
        <is>
          <t>keytruda</t>
        </is>
      </c>
      <c r="B37" s="2" t="inlineStr">
        <is>
          <t>1-classicalhodgkinlymphoma</t>
        </is>
      </c>
      <c r="C37" s="2" t="inlineStr">
        <is>
          <t>1.5 Classical Hodgkin Lymphoma</t>
        </is>
      </c>
      <c r="D37" s="2" t="inlineStr">
        <is>
          <t>unchanged</t>
        </is>
      </c>
      <c r="E37" s="2" t="inlineStr">
        <is>
          <t>keytruda-v219:1-classicalhodgkinlymphoma</t>
        </is>
      </c>
      <c r="F37" s="2" t="inlineStr">
        <is>
          <t>keytruda-v228:1-classicalhodgkinlymphoma</t>
        </is>
      </c>
      <c r="G37" s="2" t="inlineStr">
        <is>
          <t>https://dailymed.nlm.nih.gov/dailymed/lookup.cfm?setid=9333c79b-d487-4538-a9f0-71b91a02b287&amp;version=219#S1.5</t>
        </is>
      </c>
      <c r="H37" s="2" t="inlineStr">
        <is>
          <t>https://dailymed.nlm.nih.gov/dailymed/lookup.cfm?setid=9333c79b-d487-4538-a9f0-71b91a02b287&amp;version=228#S1.5</t>
        </is>
      </c>
    </row>
    <row r="38">
      <c r="A38" s="2" t="inlineStr">
        <is>
          <t>keytruda</t>
        </is>
      </c>
      <c r="B38" s="2" t="inlineStr">
        <is>
          <t>1-cutaneoussquamouscellcarcinoma</t>
        </is>
      </c>
      <c r="C38" s="2" t="inlineStr">
        <is>
          <t>1.19 Cutaneous Squamous Cell Carcinoma</t>
        </is>
      </c>
      <c r="D38" s="2" t="inlineStr">
        <is>
          <t>unchanged</t>
        </is>
      </c>
      <c r="E38" s="2" t="inlineStr">
        <is>
          <t>keytruda-v219:1-cutaneoussquamouscellcarcinoma</t>
        </is>
      </c>
      <c r="F38" s="2" t="inlineStr">
        <is>
          <t>keytruda-v228:1-cutaneoussquamouscellcarcinoma</t>
        </is>
      </c>
      <c r="G38" s="2" t="inlineStr">
        <is>
          <t>https://dailymed.nlm.nih.gov/dailymed/lookup.cfm?setid=9333c79b-d487-4538-a9f0-71b91a02b287&amp;version=219#S1.19</t>
        </is>
      </c>
      <c r="H38" s="2" t="inlineStr">
        <is>
          <t>https://dailymed.nlm.nih.gov/dailymed/lookup.cfm?setid=9333c79b-d487-4538-a9f0-71b91a02b287&amp;version=228#S1.19</t>
        </is>
      </c>
    </row>
    <row r="39">
      <c r="A39" s="2" t="inlineStr">
        <is>
          <t>keytruda</t>
        </is>
      </c>
      <c r="B39" s="2" t="inlineStr">
        <is>
          <t>1-endometrialcarcinoma</t>
        </is>
      </c>
      <c r="C39" s="2" t="inlineStr">
        <is>
          <t>1.17 Endometrial Carcinoma</t>
        </is>
      </c>
      <c r="D39" s="2" t="inlineStr">
        <is>
          <t>modified</t>
        </is>
      </c>
      <c r="E39" s="2" t="inlineStr">
        <is>
          <t>keytruda-v219:1-endometrialcarcinoma</t>
        </is>
      </c>
      <c r="F39" s="2" t="inlineStr">
        <is>
          <t>keytruda-v228:1-endometrialcarcinoma</t>
        </is>
      </c>
      <c r="G39" s="2" t="inlineStr">
        <is>
          <t>https://dailymed.nlm.nih.gov/dailymed/lookup.cfm?setid=9333c79b-d487-4538-a9f0-71b91a02b287&amp;version=219#S1.17</t>
        </is>
      </c>
      <c r="H39" s="2" t="inlineStr">
        <is>
          <t>https://dailymed.nlm.nih.gov/dailymed/lookup.cfm?setid=9333c79b-d487-4538-a9f0-71b91a02b287&amp;version=228#S1.17</t>
        </is>
      </c>
    </row>
    <row r="40">
      <c r="A40" s="2" t="inlineStr">
        <is>
          <t>keytruda</t>
        </is>
      </c>
      <c r="B40" s="2" t="inlineStr">
        <is>
          <t>1-esophagealcancer</t>
        </is>
      </c>
      <c r="C40" s="2" t="inlineStr">
        <is>
          <t>1.11 Esophageal Cancer</t>
        </is>
      </c>
      <c r="D40" s="2" t="inlineStr">
        <is>
          <t>modified</t>
        </is>
      </c>
      <c r="E40" s="2" t="inlineStr">
        <is>
          <t>keytruda-v219:1-esophagealcancer</t>
        </is>
      </c>
      <c r="F40" s="2" t="inlineStr">
        <is>
          <t>keytruda-v228:1-esophagealcancer</t>
        </is>
      </c>
      <c r="G40" s="2" t="inlineStr">
        <is>
          <t>https://dailymed.nlm.nih.gov/dailymed/lookup.cfm?setid=9333c79b-d487-4538-a9f0-71b91a02b287&amp;version=219#S1.11</t>
        </is>
      </c>
      <c r="H40" s="2" t="inlineStr">
        <is>
          <t>https://dailymed.nlm.nih.gov/dailymed/lookup.cfm?setid=9333c79b-d487-4538-a9f0-71b91a02b287&amp;version=228#S1.11</t>
        </is>
      </c>
    </row>
    <row r="41">
      <c r="A41" s="2" t="inlineStr">
        <is>
          <t>keytruda</t>
        </is>
      </c>
      <c r="B41" s="2" t="inlineStr">
        <is>
          <t>1-gastriccancer</t>
        </is>
      </c>
      <c r="C41" s="2" t="inlineStr">
        <is>
          <t>1.10 Gastric Cancer</t>
        </is>
      </c>
      <c r="D41" s="2" t="inlineStr">
        <is>
          <t>modified</t>
        </is>
      </c>
      <c r="E41" s="2" t="inlineStr">
        <is>
          <t>keytruda-v219:1-gastriccancer</t>
        </is>
      </c>
      <c r="F41" s="2" t="inlineStr">
        <is>
          <t>keytruda-v228:1-gastriccancer</t>
        </is>
      </c>
      <c r="G41" s="2" t="inlineStr">
        <is>
          <t>https://dailymed.nlm.nih.gov/dailymed/lookup.cfm?setid=9333c79b-d487-4538-a9f0-71b91a02b287&amp;version=219#S1.10</t>
        </is>
      </c>
      <c r="H41" s="2" t="inlineStr">
        <is>
          <t>https://dailymed.nlm.nih.gov/dailymed/lookup.cfm?setid=9333c79b-d487-4538-a9f0-71b91a02b287&amp;version=228#S1.10</t>
        </is>
      </c>
    </row>
    <row r="42">
      <c r="A42" s="2" t="inlineStr">
        <is>
          <t>keytruda</t>
        </is>
      </c>
      <c r="B42" s="2" t="inlineStr">
        <is>
          <t>1-headandnecksquamouscellcancer</t>
        </is>
      </c>
      <c r="C42" s="2" t="inlineStr">
        <is>
          <t>1.4 Head and Neck Squamous Cell Cancer</t>
        </is>
      </c>
      <c r="D42" s="2" t="inlineStr">
        <is>
          <t>modified</t>
        </is>
      </c>
      <c r="E42" s="2" t="inlineStr">
        <is>
          <t>keytruda-v219:1-headandnecksquamouscellcancer</t>
        </is>
      </c>
      <c r="F42" s="2" t="inlineStr">
        <is>
          <t>keytruda-v228:1-headandnecksquamouscellcancer</t>
        </is>
      </c>
      <c r="G42" s="2" t="inlineStr">
        <is>
          <t>https://dailymed.nlm.nih.gov/dailymed/lookup.cfm?setid=9333c79b-d487-4538-a9f0-71b91a02b287&amp;version=219#S1.4</t>
        </is>
      </c>
      <c r="H42" s="2" t="inlineStr">
        <is>
          <t>https://dailymed.nlm.nih.gov/dailymed/lookup.cfm?setid=9333c79b-d487-4538-a9f0-71b91a02b287&amp;version=228#S1.4</t>
        </is>
      </c>
    </row>
    <row r="43">
      <c r="A43" s="2" t="inlineStr">
        <is>
          <t>keytruda</t>
        </is>
      </c>
      <c r="B43" s="2" t="inlineStr">
        <is>
          <t>1-hepatocellularcarcinoma</t>
        </is>
      </c>
      <c r="C43" s="2" t="inlineStr">
        <is>
          <t>1.13 Hepatocellular Carcinoma</t>
        </is>
      </c>
      <c r="D43" s="2" t="inlineStr">
        <is>
          <t>unchanged</t>
        </is>
      </c>
      <c r="E43" s="2" t="inlineStr">
        <is>
          <t>keytruda-v219:1-hepatocellularcarcinoma</t>
        </is>
      </c>
      <c r="F43" s="2" t="inlineStr">
        <is>
          <t>keytruda-v228:1-hepatocellularcarcinoma</t>
        </is>
      </c>
      <c r="G43" s="2" t="inlineStr">
        <is>
          <t>https://dailymed.nlm.nih.gov/dailymed/lookup.cfm?setid=9333c79b-d487-4538-a9f0-71b91a02b287&amp;version=219#S1.13</t>
        </is>
      </c>
      <c r="H43" s="2" t="inlineStr">
        <is>
          <t>https://dailymed.nlm.nih.gov/dailymed/lookup.cfm?setid=9333c79b-d487-4538-a9f0-71b91a02b287&amp;version=228#S1.13</t>
        </is>
      </c>
    </row>
    <row r="44">
      <c r="A44" s="2" t="inlineStr">
        <is>
          <t>keytruda</t>
        </is>
      </c>
      <c r="B44" s="2" t="inlineStr">
        <is>
          <t>1-malignantpleuralmesothelioma</t>
        </is>
      </c>
      <c r="C44" s="2" t="inlineStr">
        <is>
          <t>1.3 Malignant Pleural Mesothelioma</t>
        </is>
      </c>
      <c r="D44" s="2" t="inlineStr">
        <is>
          <t>unchanged</t>
        </is>
      </c>
      <c r="E44" s="2" t="inlineStr">
        <is>
          <t>keytruda-v219:1-malignantpleuralmesothelioma</t>
        </is>
      </c>
      <c r="F44" s="2" t="inlineStr">
        <is>
          <t>keytruda-v228:1-malignantpleuralmesothelioma</t>
        </is>
      </c>
      <c r="G44" s="2" t="inlineStr">
        <is>
          <t>https://dailymed.nlm.nih.gov/dailymed/lookup.cfm?setid=9333c79b-d487-4538-a9f0-71b91a02b287&amp;version=219#S1.3</t>
        </is>
      </c>
      <c r="H44" s="2" t="inlineStr">
        <is>
          <t>https://dailymed.nlm.nih.gov/dailymed/lookup.cfm?setid=9333c79b-d487-4538-a9f0-71b91a02b287&amp;version=228#S1.3</t>
        </is>
      </c>
    </row>
    <row r="45">
      <c r="A45" s="2" t="inlineStr">
        <is>
          <t>keytruda</t>
        </is>
      </c>
      <c r="B45" s="2" t="inlineStr">
        <is>
          <t>1-melanoma</t>
        </is>
      </c>
      <c r="C45" s="2" t="inlineStr">
        <is>
          <t>1.1 Melanoma</t>
        </is>
      </c>
      <c r="D45" s="2" t="inlineStr">
        <is>
          <t>unchanged</t>
        </is>
      </c>
      <c r="E45" s="2" t="inlineStr">
        <is>
          <t>keytruda-v219:1-melanoma</t>
        </is>
      </c>
      <c r="F45" s="2" t="inlineStr">
        <is>
          <t>keytruda-v228:1-melanoma</t>
        </is>
      </c>
      <c r="G45" s="2" t="inlineStr">
        <is>
          <t>https://dailymed.nlm.nih.gov/dailymed/lookup.cfm?setid=9333c79b-d487-4538-a9f0-71b91a02b287&amp;version=219#S1.1</t>
        </is>
      </c>
      <c r="H45" s="2" t="inlineStr">
        <is>
          <t>https://dailymed.nlm.nih.gov/dailymed/lookup.cfm?setid=9333c79b-d487-4538-a9f0-71b91a02b287&amp;version=228#S1.1</t>
        </is>
      </c>
    </row>
    <row r="46">
      <c r="A46" s="2" t="inlineStr">
        <is>
          <t>keytruda</t>
        </is>
      </c>
      <c r="B46" s="2" t="inlineStr">
        <is>
          <t>1-merkelcellcarcinoma</t>
        </is>
      </c>
      <c r="C46" s="2" t="inlineStr">
        <is>
          <t>1.15 Merkel Cell Carcinoma</t>
        </is>
      </c>
      <c r="D46" s="2" t="inlineStr">
        <is>
          <t>unchanged</t>
        </is>
      </c>
      <c r="E46" s="2" t="inlineStr">
        <is>
          <t>keytruda-v219:1-merkelcellcarcinoma</t>
        </is>
      </c>
      <c r="F46" s="2" t="inlineStr">
        <is>
          <t>keytruda-v228:1-merkelcellcarcinoma</t>
        </is>
      </c>
      <c r="G46" s="2" t="inlineStr">
        <is>
          <t>https://dailymed.nlm.nih.gov/dailymed/lookup.cfm?setid=9333c79b-d487-4538-a9f0-71b91a02b287&amp;version=219#S1.15</t>
        </is>
      </c>
      <c r="H46" s="2" t="inlineStr">
        <is>
          <t>https://dailymed.nlm.nih.gov/dailymed/lookup.cfm?setid=9333c79b-d487-4538-a9f0-71b91a02b287&amp;version=228#S1.15</t>
        </is>
      </c>
    </row>
    <row r="47">
      <c r="A47" s="2" t="inlineStr">
        <is>
          <t>keytruda</t>
        </is>
      </c>
      <c r="B47" s="2" t="inlineStr">
        <is>
          <t>1-microsatelliteinstabilityhighormismatchrepairdeficientcancer</t>
        </is>
      </c>
      <c r="C47" s="2" t="inlineStr">
        <is>
          <t>1.8 Microsatellite Instability-High or Mismatch Repair Deficient Cancer</t>
        </is>
      </c>
      <c r="D47" s="2" t="inlineStr">
        <is>
          <t>modified</t>
        </is>
      </c>
      <c r="E47" s="2" t="inlineStr">
        <is>
          <t>keytruda-v219:1-microsatelliteinstabilityhighormismatchrepairdeficientcancer</t>
        </is>
      </c>
      <c r="F47" s="2" t="inlineStr">
        <is>
          <t>keytruda-v228:1-microsatelliteinstabilityhighormismatchrepairdeficientcancer</t>
        </is>
      </c>
      <c r="G47" s="2" t="inlineStr">
        <is>
          <t>https://dailymed.nlm.nih.gov/dailymed/lookup.cfm?setid=9333c79b-d487-4538-a9f0-71b91a02b287&amp;version=219#S1.8</t>
        </is>
      </c>
      <c r="H47" s="2" t="inlineStr">
        <is>
          <t>https://dailymed.nlm.nih.gov/dailymed/lookup.cfm?setid=9333c79b-d487-4538-a9f0-71b91a02b287&amp;version=228#S1.8</t>
        </is>
      </c>
    </row>
    <row r="48">
      <c r="A48" s="2" t="inlineStr">
        <is>
          <t>keytruda</t>
        </is>
      </c>
      <c r="B48" s="2" t="inlineStr">
        <is>
          <t>1-microsatelliteinstabilityhighormismatchrepairdeficientcolorectalcancer</t>
        </is>
      </c>
      <c r="C48" s="2" t="inlineStr">
        <is>
          <t>1.9 Microsatellite Instability-High or Mismatch Repair Deficient Colorectal Cancer</t>
        </is>
      </c>
      <c r="D48" s="2" t="inlineStr">
        <is>
          <t>modified</t>
        </is>
      </c>
      <c r="E48" s="2" t="inlineStr">
        <is>
          <t>keytruda-v219:1-microsatelliteinstabilityhighormismatchrepairdeficientcolorectalcancer</t>
        </is>
      </c>
      <c r="F48" s="2" t="inlineStr">
        <is>
          <t>keytruda-v228:1-microsatelliteinstabilityhighormismatchrepairdeficientcolorectalcancer</t>
        </is>
      </c>
      <c r="G48" s="2" t="inlineStr">
        <is>
          <t>https://dailymed.nlm.nih.gov/dailymed/lookup.cfm?setid=9333c79b-d487-4538-a9f0-71b91a02b287&amp;version=219#S1.9</t>
        </is>
      </c>
      <c r="H48" s="2" t="inlineStr">
        <is>
          <t>https://dailymed.nlm.nih.gov/dailymed/lookup.cfm?setid=9333c79b-d487-4538-a9f0-71b91a02b287&amp;version=228#S1.9</t>
        </is>
      </c>
    </row>
    <row r="49">
      <c r="A49" s="2" t="inlineStr">
        <is>
          <t>keytruda</t>
        </is>
      </c>
      <c r="B49" s="2" t="inlineStr">
        <is>
          <t>1-nonsmallcelllungcancer</t>
        </is>
      </c>
      <c r="C49" s="2" t="inlineStr">
        <is>
          <t>1.2 Non-Small Cell Lung Cancer</t>
        </is>
      </c>
      <c r="D49" s="2" t="inlineStr">
        <is>
          <t>modified</t>
        </is>
      </c>
      <c r="E49" s="2" t="inlineStr">
        <is>
          <t>keytruda-v219:1-nonsmallcelllungcancer</t>
        </is>
      </c>
      <c r="F49" s="2" t="inlineStr">
        <is>
          <t>keytruda-v228:1-nonsmallcelllungcancer</t>
        </is>
      </c>
      <c r="G49" s="2" t="inlineStr">
        <is>
          <t>https://dailymed.nlm.nih.gov/dailymed/lookup.cfm?setid=9333c79b-d487-4538-a9f0-71b91a02b287&amp;version=219#S1.2</t>
        </is>
      </c>
      <c r="H49" s="2" t="inlineStr">
        <is>
          <t>https://dailymed.nlm.nih.gov/dailymed/lookup.cfm?setid=9333c79b-d487-4538-a9f0-71b91a02b287&amp;version=228#S1.2</t>
        </is>
      </c>
    </row>
    <row r="50">
      <c r="A50" s="2" t="inlineStr">
        <is>
          <t>keytruda</t>
        </is>
      </c>
      <c r="B50" s="2" t="inlineStr">
        <is>
          <t>1-ovariancancer</t>
        </is>
      </c>
      <c r="C50" s="2" t="inlineStr">
        <is>
          <t>1.21 Ovarian Cancer</t>
        </is>
      </c>
      <c r="D50" s="2" t="inlineStr">
        <is>
          <t>added</t>
        </is>
      </c>
      <c r="E50" s="2" t="inlineStr"/>
      <c r="F50" s="2" t="inlineStr">
        <is>
          <t>keytruda-v228:1-ovariancancer</t>
        </is>
      </c>
      <c r="G50" s="2" t="inlineStr">
        <is>
          <t>https://dailymed.nlm.nih.gov/dailymed/lookup.cfm?setid=9333c79b-d487-4538-a9f0-71b91a02b287&amp;version=219</t>
        </is>
      </c>
      <c r="H50" s="2" t="inlineStr">
        <is>
          <t>https://dailymed.nlm.nih.gov/dailymed/lookup.cfm?setid=9333c79b-d487-4538-a9f0-71b91a02b287&amp;version=228#S1.21</t>
        </is>
      </c>
    </row>
    <row r="51">
      <c r="A51" s="2" t="inlineStr">
        <is>
          <t>keytruda</t>
        </is>
      </c>
      <c r="B51" s="2" t="inlineStr">
        <is>
          <t>1-primarymediastinallargebcelllymphoma</t>
        </is>
      </c>
      <c r="C51" s="2" t="inlineStr">
        <is>
          <t>1.6 Primary Mediastinal Large B-Cell Lymphoma</t>
        </is>
      </c>
      <c r="D51" s="2" t="inlineStr">
        <is>
          <t>unchanged</t>
        </is>
      </c>
      <c r="E51" s="2" t="inlineStr">
        <is>
          <t>keytruda-v219:1-primarymediastinallargebcelllymphoma</t>
        </is>
      </c>
      <c r="F51" s="2" t="inlineStr">
        <is>
          <t>keytruda-v228:1-primarymediastinallargebcelllymphoma</t>
        </is>
      </c>
      <c r="G51" s="2" t="inlineStr">
        <is>
          <t>https://dailymed.nlm.nih.gov/dailymed/lookup.cfm?setid=9333c79b-d487-4538-a9f0-71b91a02b287&amp;version=219#S1.6</t>
        </is>
      </c>
      <c r="H51" s="2" t="inlineStr">
        <is>
          <t>https://dailymed.nlm.nih.gov/dailymed/lookup.cfm?setid=9333c79b-d487-4538-a9f0-71b91a02b287&amp;version=228#S1.6</t>
        </is>
      </c>
    </row>
    <row r="52">
      <c r="A52" s="2" t="inlineStr">
        <is>
          <t>keytruda</t>
        </is>
      </c>
      <c r="B52" s="2" t="inlineStr">
        <is>
          <t>1-renalcellcarcinoma</t>
        </is>
      </c>
      <c r="C52" s="2" t="inlineStr">
        <is>
          <t>1.16 Renal Cell Carcinoma</t>
        </is>
      </c>
      <c r="D52" s="2" t="inlineStr">
        <is>
          <t>modified</t>
        </is>
      </c>
      <c r="E52" s="2" t="inlineStr">
        <is>
          <t>keytruda-v219:1-renalcellcarcinoma</t>
        </is>
      </c>
      <c r="F52" s="2" t="inlineStr">
        <is>
          <t>keytruda-v228:1-renalcellcarcinoma</t>
        </is>
      </c>
      <c r="G52" s="2" t="inlineStr">
        <is>
          <t>https://dailymed.nlm.nih.gov/dailymed/lookup.cfm?setid=9333c79b-d487-4538-a9f0-71b91a02b287&amp;version=219#S1.16</t>
        </is>
      </c>
      <c r="H52" s="2" t="inlineStr">
        <is>
          <t>https://dailymed.nlm.nih.gov/dailymed/lookup.cfm?setid=9333c79b-d487-4538-a9f0-71b91a02b287&amp;version=228#S1.16</t>
        </is>
      </c>
    </row>
    <row r="53">
      <c r="A53" s="2" t="inlineStr">
        <is>
          <t>keytruda</t>
        </is>
      </c>
      <c r="B53" s="2" t="inlineStr">
        <is>
          <t>1-triplenegativebreastcancer</t>
        </is>
      </c>
      <c r="C53" s="2" t="inlineStr">
        <is>
          <t>1.20 Triple-Negative Breast Cancer</t>
        </is>
      </c>
      <c r="D53" s="2" t="inlineStr">
        <is>
          <t>modified</t>
        </is>
      </c>
      <c r="E53" s="2" t="inlineStr">
        <is>
          <t>keytruda-v219:1-triplenegativebreastcancer</t>
        </is>
      </c>
      <c r="F53" s="2" t="inlineStr">
        <is>
          <t>keytruda-v228:1-triplenegativebreastcancer</t>
        </is>
      </c>
      <c r="G53" s="2" t="inlineStr">
        <is>
          <t>https://dailymed.nlm.nih.gov/dailymed/lookup.cfm?setid=9333c79b-d487-4538-a9f0-71b91a02b287&amp;version=219#S1.20</t>
        </is>
      </c>
      <c r="H53" s="2" t="inlineStr">
        <is>
          <t>https://dailymed.nlm.nih.gov/dailymed/lookup.cfm?setid=9333c79b-d487-4538-a9f0-71b91a02b287&amp;version=228#S1.20</t>
        </is>
      </c>
    </row>
    <row r="54">
      <c r="A54" s="2" t="inlineStr">
        <is>
          <t>keytruda</t>
        </is>
      </c>
      <c r="B54" s="2" t="inlineStr">
        <is>
          <t>1-tumormutationalburdenhighcancer</t>
        </is>
      </c>
      <c r="C54" s="2" t="inlineStr">
        <is>
          <t>1.18 Tumor Mutational Burden-High Cancer</t>
        </is>
      </c>
      <c r="D54" s="2" t="inlineStr">
        <is>
          <t>modified</t>
        </is>
      </c>
      <c r="E54" s="2" t="inlineStr">
        <is>
          <t>keytruda-v219:1-tumormutationalburdenhighcancer</t>
        </is>
      </c>
      <c r="F54" s="2" t="inlineStr">
        <is>
          <t>keytruda-v228:1-tumormutationalburdenhighcancer</t>
        </is>
      </c>
      <c r="G54" s="2" t="inlineStr">
        <is>
          <t>https://dailymed.nlm.nih.gov/dailymed/lookup.cfm?setid=9333c79b-d487-4538-a9f0-71b91a02b287&amp;version=219#S1.18</t>
        </is>
      </c>
      <c r="H54" s="2" t="inlineStr">
        <is>
          <t>https://dailymed.nlm.nih.gov/dailymed/lookup.cfm?setid=9333c79b-d487-4538-a9f0-71b91a02b287&amp;version=228#S1.18</t>
        </is>
      </c>
    </row>
    <row r="55">
      <c r="A55" s="2" t="inlineStr">
        <is>
          <t>keytruda</t>
        </is>
      </c>
      <c r="B55" s="2" t="inlineStr">
        <is>
          <t>1-urothelialcancer</t>
        </is>
      </c>
      <c r="C55" s="2" t="inlineStr">
        <is>
          <t>1.7 Urothelial Cancer</t>
        </is>
      </c>
      <c r="D55" s="2" t="inlineStr">
        <is>
          <t>modified</t>
        </is>
      </c>
      <c r="E55" s="2" t="inlineStr">
        <is>
          <t>keytruda-v219:1-urothelialcancer</t>
        </is>
      </c>
      <c r="F55" s="2" t="inlineStr">
        <is>
          <t>keytruda-v228:1-urothelialcancer</t>
        </is>
      </c>
      <c r="G55" s="2" t="inlineStr">
        <is>
          <t>https://dailymed.nlm.nih.gov/dailymed/lookup.cfm?setid=9333c79b-d487-4538-a9f0-71b91a02b287&amp;version=219#S1.7</t>
        </is>
      </c>
      <c r="H55" s="2" t="inlineStr">
        <is>
          <t>https://dailymed.nlm.nih.gov/dailymed/lookup.cfm?setid=9333c79b-d487-4538-a9f0-71b91a02b287&amp;version=228#S1.7</t>
        </is>
      </c>
    </row>
    <row r="56">
      <c r="A56" s="2" t="inlineStr">
        <is>
          <t>keytruda</t>
        </is>
      </c>
      <c r="B56" s="2" t="inlineStr">
        <is>
          <t>11-description</t>
        </is>
      </c>
      <c r="C56" s="2" t="inlineStr">
        <is>
          <t>11 DESCRIPTION</t>
        </is>
      </c>
      <c r="D56" s="2" t="inlineStr">
        <is>
          <t>unchanged</t>
        </is>
      </c>
      <c r="E56" s="2" t="inlineStr">
        <is>
          <t>keytruda-v219:11-description</t>
        </is>
      </c>
      <c r="F56" s="2" t="inlineStr">
        <is>
          <t>keytruda-v228:11-description</t>
        </is>
      </c>
      <c r="G56" s="2" t="inlineStr">
        <is>
          <t>https://dailymed.nlm.nih.gov/dailymed/lookup.cfm?setid=9333c79b-d487-4538-a9f0-71b91a02b287&amp;version=219#S11</t>
        </is>
      </c>
      <c r="H56" s="2" t="inlineStr">
        <is>
          <t>https://dailymed.nlm.nih.gov/dailymed/lookup.cfm?setid=9333c79b-d487-4538-a9f0-71b91a02b287&amp;version=228#S11</t>
        </is>
      </c>
    </row>
    <row r="57">
      <c r="A57" s="2" t="inlineStr">
        <is>
          <t>keytruda</t>
        </is>
      </c>
      <c r="B57" s="2" t="inlineStr">
        <is>
          <t>12-immunogenicity</t>
        </is>
      </c>
      <c r="C57" s="2" t="inlineStr">
        <is>
          <t>12.6 Immunogenicity</t>
        </is>
      </c>
      <c r="D57" s="2" t="inlineStr">
        <is>
          <t>unchanged</t>
        </is>
      </c>
      <c r="E57" s="2" t="inlineStr">
        <is>
          <t>keytruda-v219:12-immunogenicity</t>
        </is>
      </c>
      <c r="F57" s="2" t="inlineStr">
        <is>
          <t>keytruda-v228:12-immunogenicity</t>
        </is>
      </c>
      <c r="G57" s="2" t="inlineStr">
        <is>
          <t>https://dailymed.nlm.nih.gov/dailymed/lookup.cfm?setid=9333c79b-d487-4538-a9f0-71b91a02b287&amp;version=219#S12.6</t>
        </is>
      </c>
      <c r="H57" s="2" t="inlineStr">
        <is>
          <t>https://dailymed.nlm.nih.gov/dailymed/lookup.cfm?setid=9333c79b-d487-4538-a9f0-71b91a02b287&amp;version=228#S12.6</t>
        </is>
      </c>
    </row>
    <row r="58">
      <c r="A58" s="2" t="inlineStr">
        <is>
          <t>keytruda</t>
        </is>
      </c>
      <c r="B58" s="2" t="inlineStr">
        <is>
          <t>12-mechanismofaction</t>
        </is>
      </c>
      <c r="C58" s="2" t="inlineStr">
        <is>
          <t>12.1 Mechanism of Action</t>
        </is>
      </c>
      <c r="D58" s="2" t="inlineStr">
        <is>
          <t>unchanged</t>
        </is>
      </c>
      <c r="E58" s="2" t="inlineStr">
        <is>
          <t>keytruda-v219:12-mechanismofaction</t>
        </is>
      </c>
      <c r="F58" s="2" t="inlineStr">
        <is>
          <t>keytruda-v228:12-mechanismofaction</t>
        </is>
      </c>
      <c r="G58" s="2" t="inlineStr">
        <is>
          <t>https://dailymed.nlm.nih.gov/dailymed/lookup.cfm?setid=9333c79b-d487-4538-a9f0-71b91a02b287&amp;version=219#S12.1</t>
        </is>
      </c>
      <c r="H58" s="2" t="inlineStr">
        <is>
          <t>https://dailymed.nlm.nih.gov/dailymed/lookup.cfm?setid=9333c79b-d487-4538-a9f0-71b91a02b287&amp;version=228#S12.1</t>
        </is>
      </c>
    </row>
    <row r="59">
      <c r="A59" s="2" t="inlineStr">
        <is>
          <t>keytruda</t>
        </is>
      </c>
      <c r="B59" s="2" t="inlineStr">
        <is>
          <t>12-pharmacodynamics</t>
        </is>
      </c>
      <c r="C59" s="2" t="inlineStr">
        <is>
          <t>12.2 Pharmacodynamics</t>
        </is>
      </c>
      <c r="D59" s="2" t="inlineStr">
        <is>
          <t>unchanged</t>
        </is>
      </c>
      <c r="E59" s="2" t="inlineStr">
        <is>
          <t>keytruda-v219:12-pharmacodynamics</t>
        </is>
      </c>
      <c r="F59" s="2" t="inlineStr">
        <is>
          <t>keytruda-v228:12-pharmacodynamics</t>
        </is>
      </c>
      <c r="G59" s="2" t="inlineStr">
        <is>
          <t>https://dailymed.nlm.nih.gov/dailymed/lookup.cfm?setid=9333c79b-d487-4538-a9f0-71b91a02b287&amp;version=219#S12.2</t>
        </is>
      </c>
      <c r="H59" s="2" t="inlineStr">
        <is>
          <t>https://dailymed.nlm.nih.gov/dailymed/lookup.cfm?setid=9333c79b-d487-4538-a9f0-71b91a02b287&amp;version=228#S12.2</t>
        </is>
      </c>
    </row>
    <row r="60">
      <c r="A60" s="2" t="inlineStr">
        <is>
          <t>keytruda</t>
        </is>
      </c>
      <c r="B60" s="2" t="inlineStr">
        <is>
          <t>12-pharmacokinetics</t>
        </is>
      </c>
      <c r="C60" s="2" t="inlineStr">
        <is>
          <t>12.3 Pharmacokinetics</t>
        </is>
      </c>
      <c r="D60" s="2" t="inlineStr">
        <is>
          <t>reference-only</t>
        </is>
      </c>
      <c r="E60" s="2" t="inlineStr">
        <is>
          <t>keytruda-v219:12-pharmacokinetics</t>
        </is>
      </c>
      <c r="F60" s="2" t="inlineStr">
        <is>
          <t>keytruda-v228:12-pharmacokinetics</t>
        </is>
      </c>
      <c r="G60" s="2" t="inlineStr">
        <is>
          <t>https://dailymed.nlm.nih.gov/dailymed/lookup.cfm?setid=9333c79b-d487-4538-a9f0-71b91a02b287&amp;version=219#S12.3</t>
        </is>
      </c>
      <c r="H60" s="2" t="inlineStr">
        <is>
          <t>https://dailymed.nlm.nih.gov/dailymed/lookup.cfm?setid=9333c79b-d487-4538-a9f0-71b91a02b287&amp;version=228#S12.3</t>
        </is>
      </c>
    </row>
    <row r="61">
      <c r="A61" s="2" t="inlineStr">
        <is>
          <t>keytruda</t>
        </is>
      </c>
      <c r="B61" s="2" t="inlineStr">
        <is>
          <t>13-animaltoxicologyandorpharmacology</t>
        </is>
      </c>
      <c r="C61" s="2" t="inlineStr">
        <is>
          <t>13.2 Animal Toxicology and/or Pharmacology</t>
        </is>
      </c>
      <c r="D61" s="2" t="inlineStr">
        <is>
          <t>unchanged</t>
        </is>
      </c>
      <c r="E61" s="2" t="inlineStr">
        <is>
          <t>keytruda-v219:13-animaltoxicologyandorpharmacology</t>
        </is>
      </c>
      <c r="F61" s="2" t="inlineStr">
        <is>
          <t>keytruda-v228:13-animaltoxicologyandorpharmacology</t>
        </is>
      </c>
      <c r="G61" s="2" t="inlineStr">
        <is>
          <t>https://dailymed.nlm.nih.gov/dailymed/lookup.cfm?setid=9333c79b-d487-4538-a9f0-71b91a02b287&amp;version=219#S13.2</t>
        </is>
      </c>
      <c r="H61" s="2" t="inlineStr">
        <is>
          <t>https://dailymed.nlm.nih.gov/dailymed/lookup.cfm?setid=9333c79b-d487-4538-a9f0-71b91a02b287&amp;version=228#S13.2</t>
        </is>
      </c>
    </row>
    <row r="62">
      <c r="A62" s="2" t="inlineStr">
        <is>
          <t>keytruda</t>
        </is>
      </c>
      <c r="B62" s="2" t="inlineStr">
        <is>
          <t>13-carcinogenesismutagenesisimpairmentoffertility</t>
        </is>
      </c>
      <c r="C62" s="2" t="inlineStr">
        <is>
          <t>13.1 Carcinogenesis, Mutagenesis, Impairment of Fertility</t>
        </is>
      </c>
      <c r="D62" s="2" t="inlineStr">
        <is>
          <t>unchanged</t>
        </is>
      </c>
      <c r="E62" s="2" t="inlineStr">
        <is>
          <t>keytruda-v219:13-carcinogenesismutagenesisimpairmentoffertility</t>
        </is>
      </c>
      <c r="F62" s="2" t="inlineStr">
        <is>
          <t>keytruda-v228:13-carcinogenesismutagenesisimpairmentoffertility</t>
        </is>
      </c>
      <c r="G62" s="2" t="inlineStr">
        <is>
          <t>https://dailymed.nlm.nih.gov/dailymed/lookup.cfm?setid=9333c79b-d487-4538-a9f0-71b91a02b287&amp;version=219#S13.1</t>
        </is>
      </c>
      <c r="H62" s="2" t="inlineStr">
        <is>
          <t>https://dailymed.nlm.nih.gov/dailymed/lookup.cfm?setid=9333c79b-d487-4538-a9f0-71b91a02b287&amp;version=228#S13.1</t>
        </is>
      </c>
    </row>
    <row r="63">
      <c r="A63" s="2" t="inlineStr">
        <is>
          <t>keytruda</t>
        </is>
      </c>
      <c r="B63" s="2" t="inlineStr">
        <is>
          <t>14-biliarytractcancer</t>
        </is>
      </c>
      <c r="C63" s="2" t="inlineStr">
        <is>
          <t>14.14 Biliary Tract Cancer</t>
        </is>
      </c>
      <c r="D63" s="2" t="inlineStr">
        <is>
          <t>modified</t>
        </is>
      </c>
      <c r="E63" s="2" t="inlineStr">
        <is>
          <t>keytruda-v219:14-biliarytractcancer</t>
        </is>
      </c>
      <c r="F63" s="2" t="inlineStr">
        <is>
          <t>keytruda-v228:14-biliarytractcancer</t>
        </is>
      </c>
      <c r="G63" s="2" t="inlineStr">
        <is>
          <t>https://dailymed.nlm.nih.gov/dailymed/lookup.cfm?setid=9333c79b-d487-4538-a9f0-71b91a02b287&amp;version=219#S14.14</t>
        </is>
      </c>
      <c r="H63" s="2" t="inlineStr">
        <is>
          <t>https://dailymed.nlm.nih.gov/dailymed/lookup.cfm?setid=9333c79b-d487-4538-a9f0-71b91a02b287&amp;version=228#S14.14</t>
        </is>
      </c>
    </row>
    <row r="64">
      <c r="A64" s="2" t="inlineStr">
        <is>
          <t>keytruda</t>
        </is>
      </c>
      <c r="B64" s="2" t="inlineStr">
        <is>
          <t>14-cervicalcancer</t>
        </is>
      </c>
      <c r="C64" s="2" t="inlineStr">
        <is>
          <t>14.12 Cervical Cancer</t>
        </is>
      </c>
      <c r="D64" s="2" t="inlineStr">
        <is>
          <t>modified</t>
        </is>
      </c>
      <c r="E64" s="2" t="inlineStr">
        <is>
          <t>keytruda-v219:14-cervicalcancer</t>
        </is>
      </c>
      <c r="F64" s="2" t="inlineStr">
        <is>
          <t>keytruda-v228:14-cervicalcancer</t>
        </is>
      </c>
      <c r="G64" s="2" t="inlineStr">
        <is>
          <t>https://dailymed.nlm.nih.gov/dailymed/lookup.cfm?setid=9333c79b-d487-4538-a9f0-71b91a02b287&amp;version=219#S14.12</t>
        </is>
      </c>
      <c r="H64" s="2" t="inlineStr">
        <is>
          <t>https://dailymed.nlm.nih.gov/dailymed/lookup.cfm?setid=9333c79b-d487-4538-a9f0-71b91a02b287&amp;version=228#S14.12</t>
        </is>
      </c>
    </row>
    <row r="65">
      <c r="A65" s="2" t="inlineStr">
        <is>
          <t>keytruda</t>
        </is>
      </c>
      <c r="B65" s="2" t="inlineStr">
        <is>
          <t>14-classicalhodgkinlymphoma</t>
        </is>
      </c>
      <c r="C65" s="2" t="inlineStr">
        <is>
          <t>14.5 Classical Hodgkin Lymphoma</t>
        </is>
      </c>
      <c r="D65" s="2" t="inlineStr">
        <is>
          <t>modified</t>
        </is>
      </c>
      <c r="E65" s="2" t="inlineStr">
        <is>
          <t>keytruda-v219:14-classicalhodgkinlymphoma</t>
        </is>
      </c>
      <c r="F65" s="2" t="inlineStr">
        <is>
          <t>keytruda-v228:14-classicalhodgkinlymphoma</t>
        </is>
      </c>
      <c r="G65" s="2" t="inlineStr">
        <is>
          <t>https://dailymed.nlm.nih.gov/dailymed/lookup.cfm?setid=9333c79b-d487-4538-a9f0-71b91a02b287&amp;version=219#S14.5</t>
        </is>
      </c>
      <c r="H65" s="2" t="inlineStr">
        <is>
          <t>https://dailymed.nlm.nih.gov/dailymed/lookup.cfm?setid=9333c79b-d487-4538-a9f0-71b91a02b287&amp;version=228#S14.5</t>
        </is>
      </c>
    </row>
    <row r="66">
      <c r="A66" s="2" t="inlineStr">
        <is>
          <t>keytruda</t>
        </is>
      </c>
      <c r="B66" s="2" t="inlineStr">
        <is>
          <t>14-cutaneoussquamouscellcarcinoma</t>
        </is>
      </c>
      <c r="C66" s="2" t="inlineStr">
        <is>
          <t>14.19 Cutaneous Squamous Cell Carcinoma</t>
        </is>
      </c>
      <c r="D66" s="2" t="inlineStr">
        <is>
          <t>modified</t>
        </is>
      </c>
      <c r="E66" s="2" t="inlineStr">
        <is>
          <t>keytruda-v219:14-cutaneoussquamouscellcarcinoma</t>
        </is>
      </c>
      <c r="F66" s="2" t="inlineStr">
        <is>
          <t>keytruda-v228:14-cutaneoussquamouscellcarcinoma</t>
        </is>
      </c>
      <c r="G66" s="2" t="inlineStr">
        <is>
          <t>https://dailymed.nlm.nih.gov/dailymed/lookup.cfm?setid=9333c79b-d487-4538-a9f0-71b91a02b287&amp;version=219#S14.19</t>
        </is>
      </c>
      <c r="H66" s="2" t="inlineStr">
        <is>
          <t>https://dailymed.nlm.nih.gov/dailymed/lookup.cfm?setid=9333c79b-d487-4538-a9f0-71b91a02b287&amp;version=228#S14.19</t>
        </is>
      </c>
    </row>
    <row r="67">
      <c r="A67" s="2" t="inlineStr">
        <is>
          <t>keytruda</t>
        </is>
      </c>
      <c r="B67" s="2" t="inlineStr">
        <is>
          <t>14-endometrialcarcinoma</t>
        </is>
      </c>
      <c r="C67" s="2" t="inlineStr">
        <is>
          <t>14.17 Endometrial Carcinoma</t>
        </is>
      </c>
      <c r="D67" s="2" t="inlineStr">
        <is>
          <t>modified</t>
        </is>
      </c>
      <c r="E67" s="2" t="inlineStr">
        <is>
          <t>keytruda-v219:14-endometrialcarcinoma</t>
        </is>
      </c>
      <c r="F67" s="2" t="inlineStr">
        <is>
          <t>keytruda-v228:14-endometrialcarcinoma</t>
        </is>
      </c>
      <c r="G67" s="2" t="inlineStr">
        <is>
          <t>https://dailymed.nlm.nih.gov/dailymed/lookup.cfm?setid=9333c79b-d487-4538-a9f0-71b91a02b287&amp;version=219#S14.17</t>
        </is>
      </c>
      <c r="H67" s="2" t="inlineStr">
        <is>
          <t>https://dailymed.nlm.nih.gov/dailymed/lookup.cfm?setid=9333c79b-d487-4538-a9f0-71b91a02b287&amp;version=228#S14.17</t>
        </is>
      </c>
    </row>
    <row r="68">
      <c r="A68" s="2" t="inlineStr">
        <is>
          <t>keytruda</t>
        </is>
      </c>
      <c r="B68" s="2" t="inlineStr">
        <is>
          <t>14-gastriccancer</t>
        </is>
      </c>
      <c r="C68" s="2" t="inlineStr">
        <is>
          <t>14.10 Gastric Cancer</t>
        </is>
      </c>
      <c r="D68" s="2" t="inlineStr">
        <is>
          <t>modified</t>
        </is>
      </c>
      <c r="E68" s="2" t="inlineStr">
        <is>
          <t>keytruda-v219:14-gastriccancer</t>
        </is>
      </c>
      <c r="F68" s="2" t="inlineStr">
        <is>
          <t>keytruda-v228:14-gastriccancer</t>
        </is>
      </c>
      <c r="G68" s="2" t="inlineStr">
        <is>
          <t>https://dailymed.nlm.nih.gov/dailymed/lookup.cfm?setid=9333c79b-d487-4538-a9f0-71b91a02b287&amp;version=219#S14.10</t>
        </is>
      </c>
      <c r="H68" s="2" t="inlineStr">
        <is>
          <t>https://dailymed.nlm.nih.gov/dailymed/lookup.cfm?setid=9333c79b-d487-4538-a9f0-71b91a02b287&amp;version=228#S14.10</t>
        </is>
      </c>
    </row>
    <row r="69">
      <c r="A69" s="2" t="inlineStr">
        <is>
          <t>keytruda</t>
        </is>
      </c>
      <c r="B69" s="2" t="inlineStr">
        <is>
          <t>14-hepatocellularcarcinoma</t>
        </is>
      </c>
      <c r="C69" s="2" t="inlineStr">
        <is>
          <t>14.13 Hepatocellular Carcinoma</t>
        </is>
      </c>
      <c r="D69" s="2" t="inlineStr">
        <is>
          <t>modified</t>
        </is>
      </c>
      <c r="E69" s="2" t="inlineStr">
        <is>
          <t>keytruda-v219:14-hepatocellularcarcinoma</t>
        </is>
      </c>
      <c r="F69" s="2" t="inlineStr">
        <is>
          <t>keytruda-v228:14-hepatocellularcarcinoma</t>
        </is>
      </c>
      <c r="G69" s="2" t="inlineStr">
        <is>
          <t>https://dailymed.nlm.nih.gov/dailymed/lookup.cfm?setid=9333c79b-d487-4538-a9f0-71b91a02b287&amp;version=219#S14.13</t>
        </is>
      </c>
      <c r="H69" s="2" t="inlineStr">
        <is>
          <t>https://dailymed.nlm.nih.gov/dailymed/lookup.cfm?setid=9333c79b-d487-4538-a9f0-71b91a02b287&amp;version=228#S14.13</t>
        </is>
      </c>
    </row>
    <row r="70">
      <c r="A70" s="2" t="inlineStr">
        <is>
          <t>keytruda</t>
        </is>
      </c>
      <c r="B70" s="2" t="inlineStr">
        <is>
          <t>14-malignantpleuralmesothelioma</t>
        </is>
      </c>
      <c r="C70" s="2" t="inlineStr">
        <is>
          <t>14.3 Malignant Pleural Mesothelioma</t>
        </is>
      </c>
      <c r="D70" s="2" t="inlineStr">
        <is>
          <t>modified</t>
        </is>
      </c>
      <c r="E70" s="2" t="inlineStr">
        <is>
          <t>keytruda-v219:14-malignantpleuralmesothelioma</t>
        </is>
      </c>
      <c r="F70" s="2" t="inlineStr">
        <is>
          <t>keytruda-v228:14-malignantpleuralmesothelioma</t>
        </is>
      </c>
      <c r="G70" s="2" t="inlineStr">
        <is>
          <t>https://dailymed.nlm.nih.gov/dailymed/lookup.cfm?setid=9333c79b-d487-4538-a9f0-71b91a02b287&amp;version=219#S14.3</t>
        </is>
      </c>
      <c r="H70" s="2" t="inlineStr">
        <is>
          <t>https://dailymed.nlm.nih.gov/dailymed/lookup.cfm?setid=9333c79b-d487-4538-a9f0-71b91a02b287&amp;version=228#S14.3</t>
        </is>
      </c>
    </row>
    <row r="71">
      <c r="A71" s="2" t="inlineStr">
        <is>
          <t>keytruda</t>
        </is>
      </c>
      <c r="B71" s="2" t="inlineStr">
        <is>
          <t>14-merkelcellcarcinoma</t>
        </is>
      </c>
      <c r="C71" s="2" t="inlineStr">
        <is>
          <t>14.15 Merkel Cell Carcinoma</t>
        </is>
      </c>
      <c r="D71" s="2" t="inlineStr">
        <is>
          <t>modified</t>
        </is>
      </c>
      <c r="E71" s="2" t="inlineStr">
        <is>
          <t>keytruda-v219:14-merkelcellcarcinoma</t>
        </is>
      </c>
      <c r="F71" s="2" t="inlineStr">
        <is>
          <t>keytruda-v228:14-merkelcellcarcinoma</t>
        </is>
      </c>
      <c r="G71" s="2" t="inlineStr">
        <is>
          <t>https://dailymed.nlm.nih.gov/dailymed/lookup.cfm?setid=9333c79b-d487-4538-a9f0-71b91a02b287&amp;version=219#S14.15</t>
        </is>
      </c>
      <c r="H71" s="2" t="inlineStr">
        <is>
          <t>https://dailymed.nlm.nih.gov/dailymed/lookup.cfm?setid=9333c79b-d487-4538-a9f0-71b91a02b287&amp;version=228#S14.15</t>
        </is>
      </c>
    </row>
    <row r="72">
      <c r="A72" s="2" t="inlineStr">
        <is>
          <t>keytruda</t>
        </is>
      </c>
      <c r="B72" s="2" t="inlineStr">
        <is>
          <t>14-microsatelliteinstabilityhighormismatchrepairdeficientcancer</t>
        </is>
      </c>
      <c r="C72" s="2" t="inlineStr">
        <is>
          <t>14.8 Microsatellite Instability-High or Mismatch Repair Deficient Cancer</t>
        </is>
      </c>
      <c r="D72" s="2" t="inlineStr">
        <is>
          <t>modified</t>
        </is>
      </c>
      <c r="E72" s="2" t="inlineStr">
        <is>
          <t>keytruda-v219:14-microsatelliteinstabilityhighormismatchrepairdeficientcancer</t>
        </is>
      </c>
      <c r="F72" s="2" t="inlineStr">
        <is>
          <t>keytruda-v228:14-microsatelliteinstabilityhighormismatchrepairdeficientcancer</t>
        </is>
      </c>
      <c r="G72" s="2" t="inlineStr">
        <is>
          <t>https://dailymed.nlm.nih.gov/dailymed/lookup.cfm?setid=9333c79b-d487-4538-a9f0-71b91a02b287&amp;version=219#S14.8</t>
        </is>
      </c>
      <c r="H72" s="2" t="inlineStr">
        <is>
          <t>https://dailymed.nlm.nih.gov/dailymed/lookup.cfm?setid=9333c79b-d487-4538-a9f0-71b91a02b287&amp;version=228#S14.8</t>
        </is>
      </c>
    </row>
    <row r="73">
      <c r="A73" s="2" t="inlineStr">
        <is>
          <t>keytruda</t>
        </is>
      </c>
      <c r="B73" s="2" t="inlineStr">
        <is>
          <t>14-microsatelliteinstabilityhighormismatchrepairdeficientcolorectalcancer</t>
        </is>
      </c>
      <c r="C73" s="2" t="inlineStr">
        <is>
          <t>14.9 Microsatellite Instability-High or Mismatch Repair Deficient Colorectal Cancer</t>
        </is>
      </c>
      <c r="D73" s="2" t="inlineStr">
        <is>
          <t>modified</t>
        </is>
      </c>
      <c r="E73" s="2" t="inlineStr">
        <is>
          <t>keytruda-v219:14-microsatelliteinstabilityhighormismatchrepairdeficientcolorectalcancer</t>
        </is>
      </c>
      <c r="F73" s="2" t="inlineStr">
        <is>
          <t>keytruda-v228:14-microsatelliteinstabilityhighormismatchrepairdeficientcolorectalcancer</t>
        </is>
      </c>
      <c r="G73" s="2" t="inlineStr">
        <is>
          <t>https://dailymed.nlm.nih.gov/dailymed/lookup.cfm?setid=9333c79b-d487-4538-a9f0-71b91a02b287&amp;version=219#S14.9</t>
        </is>
      </c>
      <c r="H73" s="2" t="inlineStr">
        <is>
          <t>https://dailymed.nlm.nih.gov/dailymed/lookup.cfm?setid=9333c79b-d487-4538-a9f0-71b91a02b287&amp;version=228#S14.9</t>
        </is>
      </c>
    </row>
    <row r="74">
      <c r="A74" s="2" t="inlineStr">
        <is>
          <t>keytruda</t>
        </is>
      </c>
      <c r="B74" s="2" t="inlineStr">
        <is>
          <t>14-ovariancancer</t>
        </is>
      </c>
      <c r="C74" s="2" t="inlineStr">
        <is>
          <t>14.21 Ovarian Cancer</t>
        </is>
      </c>
      <c r="D74" s="2" t="inlineStr">
        <is>
          <t>added</t>
        </is>
      </c>
      <c r="E74" s="2" t="inlineStr"/>
      <c r="F74" s="2" t="inlineStr">
        <is>
          <t>keytruda-v228:14-ovariancancer</t>
        </is>
      </c>
      <c r="G74" s="2" t="inlineStr">
        <is>
          <t>https://dailymed.nlm.nih.gov/dailymed/lookup.cfm?setid=9333c79b-d487-4538-a9f0-71b91a02b287&amp;version=219</t>
        </is>
      </c>
      <c r="H74" s="2" t="inlineStr">
        <is>
          <t>https://dailymed.nlm.nih.gov/dailymed/lookup.cfm?setid=9333c79b-d487-4538-a9f0-71b91a02b287&amp;version=228#S14.21</t>
        </is>
      </c>
    </row>
    <row r="75">
      <c r="A75" s="2" t="inlineStr">
        <is>
          <t>keytruda</t>
        </is>
      </c>
      <c r="B75" s="2" t="inlineStr">
        <is>
          <t>14-primarymediastinallargebcelllymphoma</t>
        </is>
      </c>
      <c r="C75" s="2" t="inlineStr">
        <is>
          <t>14.6 Primary Mediastinal Large B-Cell Lymphoma</t>
        </is>
      </c>
      <c r="D75" s="2" t="inlineStr">
        <is>
          <t>modified</t>
        </is>
      </c>
      <c r="E75" s="2" t="inlineStr">
        <is>
          <t>keytruda-v219:14-primarymediastinallargebcelllymphoma</t>
        </is>
      </c>
      <c r="F75" s="2" t="inlineStr">
        <is>
          <t>keytruda-v228:14-primarymediastinallargebcelllymphoma</t>
        </is>
      </c>
      <c r="G75" s="2" t="inlineStr">
        <is>
          <t>https://dailymed.nlm.nih.gov/dailymed/lookup.cfm?setid=9333c79b-d487-4538-a9f0-71b91a02b287&amp;version=219#S14.6</t>
        </is>
      </c>
      <c r="H75" s="2" t="inlineStr">
        <is>
          <t>https://dailymed.nlm.nih.gov/dailymed/lookup.cfm?setid=9333c79b-d487-4538-a9f0-71b91a02b287&amp;version=228#S14.6</t>
        </is>
      </c>
    </row>
    <row r="76">
      <c r="A76" s="2" t="inlineStr">
        <is>
          <t>keytruda</t>
        </is>
      </c>
      <c r="B76" s="2" t="inlineStr">
        <is>
          <t>14-renalcellcarcinoma</t>
        </is>
      </c>
      <c r="C76" s="2" t="inlineStr">
        <is>
          <t>14.16 Renal Cell Carcinoma</t>
        </is>
      </c>
      <c r="D76" s="2" t="inlineStr">
        <is>
          <t>modified</t>
        </is>
      </c>
      <c r="E76" s="2" t="inlineStr">
        <is>
          <t>keytruda-v219:14-renalcellcarcinoma</t>
        </is>
      </c>
      <c r="F76" s="2" t="inlineStr">
        <is>
          <t>keytruda-v228:14-renalcellcarcinoma</t>
        </is>
      </c>
      <c r="G76" s="2" t="inlineStr">
        <is>
          <t>https://dailymed.nlm.nih.gov/dailymed/lookup.cfm?setid=9333c79b-d487-4538-a9f0-71b91a02b287&amp;version=219#S14.16</t>
        </is>
      </c>
      <c r="H76" s="2" t="inlineStr">
        <is>
          <t>https://dailymed.nlm.nih.gov/dailymed/lookup.cfm?setid=9333c79b-d487-4538-a9f0-71b91a02b287&amp;version=228#S14.16</t>
        </is>
      </c>
    </row>
    <row r="77">
      <c r="A77" s="2" t="inlineStr">
        <is>
          <t>keytruda</t>
        </is>
      </c>
      <c r="B77" s="2" t="inlineStr">
        <is>
          <t>14-triplenegativebreastcancer</t>
        </is>
      </c>
      <c r="C77" s="2" t="inlineStr">
        <is>
          <t>14.20 Triple-Negative Breast Cancer</t>
        </is>
      </c>
      <c r="D77" s="2" t="inlineStr">
        <is>
          <t>modified</t>
        </is>
      </c>
      <c r="E77" s="2" t="inlineStr">
        <is>
          <t>keytruda-v219:14-triplenegativebreastcancer</t>
        </is>
      </c>
      <c r="F77" s="2" t="inlineStr">
        <is>
          <t>keytruda-v228:14-triplenegativebreastcancer</t>
        </is>
      </c>
      <c r="G77" s="2" t="inlineStr">
        <is>
          <t>https://dailymed.nlm.nih.gov/dailymed/lookup.cfm?setid=9333c79b-d487-4538-a9f0-71b91a02b287&amp;version=219#S14.20</t>
        </is>
      </c>
      <c r="H77" s="2" t="inlineStr">
        <is>
          <t>https://dailymed.nlm.nih.gov/dailymed/lookup.cfm?setid=9333c79b-d487-4538-a9f0-71b91a02b287&amp;version=228#S14.20</t>
        </is>
      </c>
    </row>
    <row r="78">
      <c r="A78" s="2" t="inlineStr">
        <is>
          <t>keytruda</t>
        </is>
      </c>
      <c r="B78" s="2" t="inlineStr">
        <is>
          <t>14-tumormutationalburdenhighcancer</t>
        </is>
      </c>
      <c r="C78" s="2" t="inlineStr">
        <is>
          <t>14.18 Tumor Mutational Burden-High Cancer</t>
        </is>
      </c>
      <c r="D78" s="2" t="inlineStr">
        <is>
          <t>modified</t>
        </is>
      </c>
      <c r="E78" s="2" t="inlineStr">
        <is>
          <t>keytruda-v219:14-tumormutationalburdenhighcancer</t>
        </is>
      </c>
      <c r="F78" s="2" t="inlineStr">
        <is>
          <t>keytruda-v228:14-tumormutationalburdenhighcancer</t>
        </is>
      </c>
      <c r="G78" s="2" t="inlineStr">
        <is>
          <t>https://dailymed.nlm.nih.gov/dailymed/lookup.cfm?setid=9333c79b-d487-4538-a9f0-71b91a02b287&amp;version=219#S14.18</t>
        </is>
      </c>
      <c r="H78" s="2" t="inlineStr">
        <is>
          <t>https://dailymed.nlm.nih.gov/dailymed/lookup.cfm?setid=9333c79b-d487-4538-a9f0-71b91a02b287&amp;version=228#S14.18</t>
        </is>
      </c>
    </row>
    <row r="79">
      <c r="A79" s="2" t="inlineStr">
        <is>
          <t>keytruda</t>
        </is>
      </c>
      <c r="B79" s="2" t="inlineStr">
        <is>
          <t>16-howsuppliedstorageandhandling</t>
        </is>
      </c>
      <c r="C79" s="2" t="inlineStr">
        <is>
          <t>16 HOW SUPPLIED/STORAGE AND HANDLING</t>
        </is>
      </c>
      <c r="D79" s="2" t="inlineStr">
        <is>
          <t>unchanged</t>
        </is>
      </c>
      <c r="E79" s="2" t="inlineStr">
        <is>
          <t>keytruda-v219:16-howsuppliedstorageandhandling</t>
        </is>
      </c>
      <c r="F79" s="2" t="inlineStr">
        <is>
          <t>keytruda-v228:16-howsuppliedstorageandhandling</t>
        </is>
      </c>
      <c r="G79" s="2" t="inlineStr">
        <is>
          <t>https://dailymed.nlm.nih.gov/dailymed/lookup.cfm?setid=9333c79b-d487-4538-a9f0-71b91a02b287&amp;version=219#S16</t>
        </is>
      </c>
      <c r="H79" s="2" t="inlineStr">
        <is>
          <t>https://dailymed.nlm.nih.gov/dailymed/lookup.cfm?setid=9333c79b-d487-4538-a9f0-71b91a02b287&amp;version=228#S16</t>
        </is>
      </c>
    </row>
    <row r="80">
      <c r="A80" s="2" t="inlineStr">
        <is>
          <t>keytruda</t>
        </is>
      </c>
      <c r="B80" s="2" t="inlineStr">
        <is>
          <t>17-patientcounselinginformation</t>
        </is>
      </c>
      <c r="C80" s="2" t="inlineStr">
        <is>
          <t>17 PATIENT COUNSELING INFORMATION</t>
        </is>
      </c>
      <c r="D80" s="2" t="inlineStr">
        <is>
          <t>unchanged</t>
        </is>
      </c>
      <c r="E80" s="2" t="inlineStr">
        <is>
          <t>keytruda-v219:17-patientcounselinginformation</t>
        </is>
      </c>
      <c r="F80" s="2" t="inlineStr">
        <is>
          <t>keytruda-v228:17-patientcounselinginformation</t>
        </is>
      </c>
      <c r="G80" s="2" t="inlineStr">
        <is>
          <t>https://dailymed.nlm.nih.gov/dailymed/lookup.cfm?setid=9333c79b-d487-4538-a9f0-71b91a02b287&amp;version=219#S17</t>
        </is>
      </c>
      <c r="H80" s="2" t="inlineStr">
        <is>
          <t>https://dailymed.nlm.nih.gov/dailymed/lookup.cfm?setid=9333c79b-d487-4538-a9f0-71b91a02b287&amp;version=228#S17</t>
        </is>
      </c>
    </row>
    <row r="81">
      <c r="A81" s="2" t="inlineStr">
        <is>
          <t>keytruda</t>
        </is>
      </c>
      <c r="B81" s="2" t="inlineStr">
        <is>
          <t>2-dosemodifications</t>
        </is>
      </c>
      <c r="C81" s="2" t="inlineStr">
        <is>
          <t>2.3 Dose Modifications</t>
        </is>
      </c>
      <c r="D81" s="2" t="inlineStr">
        <is>
          <t>modified</t>
        </is>
      </c>
      <c r="E81" s="2" t="inlineStr">
        <is>
          <t>keytruda-v219:2-dosemodifications</t>
        </is>
      </c>
      <c r="F81" s="2" t="inlineStr">
        <is>
          <t>keytruda-v228:2-dosemodifications</t>
        </is>
      </c>
      <c r="G81" s="2" t="inlineStr">
        <is>
          <t>https://dailymed.nlm.nih.gov/dailymed/lookup.cfm?setid=9333c79b-d487-4538-a9f0-71b91a02b287&amp;version=219#S2.3</t>
        </is>
      </c>
      <c r="H81" s="2" t="inlineStr">
        <is>
          <t>https://dailymed.nlm.nih.gov/dailymed/lookup.cfm?setid=9333c79b-d487-4538-a9f0-71b91a02b287&amp;version=228#S2.3</t>
        </is>
      </c>
    </row>
    <row r="82">
      <c r="A82" s="2" t="inlineStr">
        <is>
          <t>keytruda</t>
        </is>
      </c>
      <c r="B82" s="2" t="inlineStr">
        <is>
          <t>2-patientselection</t>
        </is>
      </c>
      <c r="C82" s="2" t="inlineStr">
        <is>
          <t>2.1 Patient Selection</t>
        </is>
      </c>
      <c r="D82" s="2" t="inlineStr">
        <is>
          <t>modified</t>
        </is>
      </c>
      <c r="E82" s="2" t="inlineStr">
        <is>
          <t>keytruda-v219:2-patientselection</t>
        </is>
      </c>
      <c r="F82" s="2" t="inlineStr">
        <is>
          <t>keytruda-v228:2-patientselection</t>
        </is>
      </c>
      <c r="G82" s="2" t="inlineStr">
        <is>
          <t>https://dailymed.nlm.nih.gov/dailymed/lookup.cfm?setid=9333c79b-d487-4538-a9f0-71b91a02b287&amp;version=219#S2.1</t>
        </is>
      </c>
      <c r="H82" s="2" t="inlineStr">
        <is>
          <t>https://dailymed.nlm.nih.gov/dailymed/lookup.cfm?setid=9333c79b-d487-4538-a9f0-71b91a02b287&amp;version=228#S2.1</t>
        </is>
      </c>
    </row>
    <row r="83">
      <c r="A83" s="2" t="inlineStr">
        <is>
          <t>keytruda</t>
        </is>
      </c>
      <c r="B83" s="2" t="inlineStr">
        <is>
          <t>2-recommendeddosage</t>
        </is>
      </c>
      <c r="C83" s="2" t="inlineStr">
        <is>
          <t>2.2 Recommended Dosage</t>
        </is>
      </c>
      <c r="D83" s="2" t="inlineStr">
        <is>
          <t>modified</t>
        </is>
      </c>
      <c r="E83" s="2" t="inlineStr">
        <is>
          <t>keytruda-v219:2-recommendeddosage</t>
        </is>
      </c>
      <c r="F83" s="2" t="inlineStr">
        <is>
          <t>keytruda-v228:2-recommendeddosage</t>
        </is>
      </c>
      <c r="G83" s="2" t="inlineStr">
        <is>
          <t>https://dailymed.nlm.nih.gov/dailymed/lookup.cfm?setid=9333c79b-d487-4538-a9f0-71b91a02b287&amp;version=219#S2.2</t>
        </is>
      </c>
      <c r="H83" s="2" t="inlineStr">
        <is>
          <t>https://dailymed.nlm.nih.gov/dailymed/lookup.cfm?setid=9333c79b-d487-4538-a9f0-71b91a02b287&amp;version=228#S2.2</t>
        </is>
      </c>
    </row>
    <row r="84">
      <c r="A84" s="2" t="inlineStr">
        <is>
          <t>keytruda</t>
        </is>
      </c>
      <c r="B84" s="2" t="inlineStr">
        <is>
          <t>3-dosageformsandstrengths</t>
        </is>
      </c>
      <c r="C84" s="2" t="inlineStr">
        <is>
          <t>3 DOSAGE FORMS AND STRENGTHS</t>
        </is>
      </c>
      <c r="D84" s="2" t="inlineStr">
        <is>
          <t>unchanged</t>
        </is>
      </c>
      <c r="E84" s="2" t="inlineStr">
        <is>
          <t>keytruda-v219:3-dosageformsandstrengths</t>
        </is>
      </c>
      <c r="F84" s="2" t="inlineStr">
        <is>
          <t>keytruda-v228:3-dosageformsandstrengths</t>
        </is>
      </c>
      <c r="G84" s="2" t="inlineStr">
        <is>
          <t>https://dailymed.nlm.nih.gov/dailymed/lookup.cfm?setid=9333c79b-d487-4538-a9f0-71b91a02b287&amp;version=219#S3</t>
        </is>
      </c>
      <c r="H84" s="2" t="inlineStr">
        <is>
          <t>https://dailymed.nlm.nih.gov/dailymed/lookup.cfm?setid=9333c79b-d487-4538-a9f0-71b91a02b287&amp;version=228#S3</t>
        </is>
      </c>
    </row>
    <row r="85">
      <c r="A85" s="2" t="inlineStr">
        <is>
          <t>keytruda</t>
        </is>
      </c>
      <c r="B85" s="2" t="inlineStr">
        <is>
          <t>4-contraindications</t>
        </is>
      </c>
      <c r="C85" s="2" t="inlineStr">
        <is>
          <t>4 CONTRAINDICATIONS</t>
        </is>
      </c>
      <c r="D85" s="2" t="inlineStr">
        <is>
          <t>unchanged</t>
        </is>
      </c>
      <c r="E85" s="2" t="inlineStr">
        <is>
          <t>keytruda-v219:4-contraindications</t>
        </is>
      </c>
      <c r="F85" s="2" t="inlineStr">
        <is>
          <t>keytruda-v228:4-contraindications</t>
        </is>
      </c>
      <c r="G85" s="2" t="inlineStr">
        <is>
          <t>https://dailymed.nlm.nih.gov/dailymed/lookup.cfm?setid=9333c79b-d487-4538-a9f0-71b91a02b287&amp;version=219#S4</t>
        </is>
      </c>
      <c r="H85" s="2" t="inlineStr">
        <is>
          <t>https://dailymed.nlm.nih.gov/dailymed/lookup.cfm?setid=9333c79b-d487-4538-a9f0-71b91a02b287&amp;version=228#S4</t>
        </is>
      </c>
    </row>
    <row r="86">
      <c r="A86" s="2" t="inlineStr">
        <is>
          <t>keytruda</t>
        </is>
      </c>
      <c r="B86" s="2" t="inlineStr">
        <is>
          <t>5-embryofetaltoxicity</t>
        </is>
      </c>
      <c r="C86" s="2" t="inlineStr">
        <is>
          <t>5.5 Embryo-Fetal Toxicity</t>
        </is>
      </c>
      <c r="D86" s="2" t="inlineStr">
        <is>
          <t>unchanged</t>
        </is>
      </c>
      <c r="E86" s="2" t="inlineStr">
        <is>
          <t>keytruda-v219:5-embryofetaltoxicity</t>
        </is>
      </c>
      <c r="F86" s="2" t="inlineStr">
        <is>
          <t>keytruda-v228:5-embryofetaltoxicity</t>
        </is>
      </c>
      <c r="G86" s="2" t="inlineStr">
        <is>
          <t>https://dailymed.nlm.nih.gov/dailymed/lookup.cfm?setid=9333c79b-d487-4538-a9f0-71b91a02b287&amp;version=219#S5.5</t>
        </is>
      </c>
      <c r="H86" s="2" t="inlineStr">
        <is>
          <t>https://dailymed.nlm.nih.gov/dailymed/lookup.cfm?setid=9333c79b-d487-4538-a9f0-71b91a02b287&amp;version=228#S5.5</t>
        </is>
      </c>
    </row>
    <row r="87">
      <c r="A87" s="2" t="inlineStr">
        <is>
          <t>keytruda</t>
        </is>
      </c>
      <c r="B87" s="2" t="inlineStr">
        <is>
          <t>5-increasedmortalityinpatientswithmultiplemyelomawhenkeytrudaisaddedtoathalidomideanalogueanddexamethasone</t>
        </is>
      </c>
      <c r="C87" s="2" t="inlineStr">
        <is>
          <t>5.4 Increased Mortality in Patients with Multiple Myeloma when KEYTRUDA is Added to a Thalidomide Analogue and Dexamethasone</t>
        </is>
      </c>
      <c r="D87" s="2" t="inlineStr">
        <is>
          <t>unchanged</t>
        </is>
      </c>
      <c r="E87" s="2" t="inlineStr">
        <is>
          <t>keytruda-v219:5-increasedmortalityinpatientswithmultiplemyelomawhenkeytrudaisaddedtoathalidomideanalogueanddexamethasone</t>
        </is>
      </c>
      <c r="F87" s="2" t="inlineStr">
        <is>
          <t>keytruda-v228:5-increasedmortalityinpatientswithmultiplemyelomawhenkeytrudaisaddedtoathalidomideanalogueanddexamethasone</t>
        </is>
      </c>
      <c r="G87" s="2" t="inlineStr">
        <is>
          <t>https://dailymed.nlm.nih.gov/dailymed/lookup.cfm?setid=9333c79b-d487-4538-a9f0-71b91a02b287&amp;version=219#S5.4</t>
        </is>
      </c>
      <c r="H87" s="2" t="inlineStr">
        <is>
          <t>https://dailymed.nlm.nih.gov/dailymed/lookup.cfm?setid=9333c79b-d487-4538-a9f0-71b91a02b287&amp;version=228#S5.4</t>
        </is>
      </c>
    </row>
    <row r="88">
      <c r="A88" s="2" t="inlineStr">
        <is>
          <t>keytruda</t>
        </is>
      </c>
      <c r="B88" s="2" t="inlineStr">
        <is>
          <t>5-infusionrelatedreactions</t>
        </is>
      </c>
      <c r="C88" s="2" t="inlineStr">
        <is>
          <t>5.2 Infusion-Related Reactions</t>
        </is>
      </c>
      <c r="D88" s="2" t="inlineStr">
        <is>
          <t>unchanged</t>
        </is>
      </c>
      <c r="E88" s="2" t="inlineStr">
        <is>
          <t>keytruda-v219:5-infusionrelatedreactions</t>
        </is>
      </c>
      <c r="F88" s="2" t="inlineStr">
        <is>
          <t>keytruda-v228:5-infusionrelatedreactions</t>
        </is>
      </c>
      <c r="G88" s="2" t="inlineStr">
        <is>
          <t>https://dailymed.nlm.nih.gov/dailymed/lookup.cfm?setid=9333c79b-d487-4538-a9f0-71b91a02b287&amp;version=219#S5.2</t>
        </is>
      </c>
      <c r="H88" s="2" t="inlineStr">
        <is>
          <t>https://dailymed.nlm.nih.gov/dailymed/lookup.cfm?setid=9333c79b-d487-4538-a9f0-71b91a02b287&amp;version=228#S5.2</t>
        </is>
      </c>
    </row>
    <row r="89">
      <c r="A89" s="2" t="inlineStr">
        <is>
          <t>keytruda</t>
        </is>
      </c>
      <c r="B89" s="2" t="inlineStr">
        <is>
          <t>5-severeandfatalimmunemediatedadversereactions</t>
        </is>
      </c>
      <c r="C89" s="2" t="inlineStr">
        <is>
          <t>5.1 Severe and Fatal Immune-Mediated Adverse Reactions</t>
        </is>
      </c>
      <c r="D89" s="2" t="inlineStr">
        <is>
          <t>modified</t>
        </is>
      </c>
      <c r="E89" s="2" t="inlineStr">
        <is>
          <t>keytruda-v219:5-severeandfatalimmunemediatedadversereactions</t>
        </is>
      </c>
      <c r="F89" s="2" t="inlineStr">
        <is>
          <t>keytruda-v228:5-severeandfatalimmunemediatedadversereactions</t>
        </is>
      </c>
      <c r="G89" s="2" t="inlineStr">
        <is>
          <t>https://dailymed.nlm.nih.gov/dailymed/lookup.cfm?setid=9333c79b-d487-4538-a9f0-71b91a02b287&amp;version=219#S5.1</t>
        </is>
      </c>
      <c r="H89" s="2" t="inlineStr">
        <is>
          <t>https://dailymed.nlm.nih.gov/dailymed/lookup.cfm?setid=9333c79b-d487-4538-a9f0-71b91a02b287&amp;version=228#S5.1</t>
        </is>
      </c>
    </row>
    <row r="90">
      <c r="A90" s="2" t="inlineStr">
        <is>
          <t>keytruda</t>
        </is>
      </c>
      <c r="B90" s="2" t="inlineStr">
        <is>
          <t>6-adversereactions</t>
        </is>
      </c>
      <c r="C90" s="2" t="inlineStr">
        <is>
          <t>6 ADVERSE REACTIONS</t>
        </is>
      </c>
      <c r="D90" s="2" t="inlineStr">
        <is>
          <t>unchanged</t>
        </is>
      </c>
      <c r="E90" s="2" t="inlineStr">
        <is>
          <t>keytruda-v219:6-adversereactions</t>
        </is>
      </c>
      <c r="F90" s="2" t="inlineStr">
        <is>
          <t>keytruda-v228:6-adversereactions</t>
        </is>
      </c>
      <c r="G90" s="2" t="inlineStr">
        <is>
          <t>https://dailymed.nlm.nih.gov/dailymed/lookup.cfm?setid=9333c79b-d487-4538-a9f0-71b91a02b287&amp;version=219#S6</t>
        </is>
      </c>
      <c r="H90" s="2" t="inlineStr">
        <is>
          <t>https://dailymed.nlm.nih.gov/dailymed/lookup.cfm?setid=9333c79b-d487-4538-a9f0-71b91a02b287&amp;version=228#S6</t>
        </is>
      </c>
    </row>
    <row r="91">
      <c r="A91" s="2" t="inlineStr">
        <is>
          <t>keytruda</t>
        </is>
      </c>
      <c r="B91" s="2" t="inlineStr">
        <is>
          <t>6-clinicaltrialsexperience</t>
        </is>
      </c>
      <c r="C91" s="2" t="inlineStr">
        <is>
          <t>6.1 Clinical Trials Experience</t>
        </is>
      </c>
      <c r="D91" s="2" t="inlineStr">
        <is>
          <t>unchanged</t>
        </is>
      </c>
      <c r="E91" s="2" t="inlineStr">
        <is>
          <t>keytruda-v219:6-clinicaltrialsexperience</t>
        </is>
      </c>
      <c r="F91" s="2" t="inlineStr">
        <is>
          <t>keytruda-v228:6-clinicaltrialsexperience</t>
        </is>
      </c>
      <c r="G91" s="2" t="inlineStr">
        <is>
          <t>https://dailymed.nlm.nih.gov/dailymed/lookup.cfm?setid=9333c79b-d487-4538-a9f0-71b91a02b287&amp;version=219#S6.1</t>
        </is>
      </c>
      <c r="H91" s="2" t="inlineStr">
        <is>
          <t>https://dailymed.nlm.nih.gov/dailymed/lookup.cfm?setid=9333c79b-d487-4538-a9f0-71b91a02b287&amp;version=228#S6.1</t>
        </is>
      </c>
    </row>
    <row r="92">
      <c r="A92" s="2" t="inlineStr">
        <is>
          <t>keytruda</t>
        </is>
      </c>
      <c r="B92" s="2" t="inlineStr">
        <is>
          <t>6-postmarketingexperience</t>
        </is>
      </c>
      <c r="C92" s="2" t="inlineStr">
        <is>
          <t>6.2 Postmarketing Experience</t>
        </is>
      </c>
      <c r="D92" s="2" t="inlineStr">
        <is>
          <t>unchanged</t>
        </is>
      </c>
      <c r="E92" s="2" t="inlineStr">
        <is>
          <t>keytruda-v219:6-postmarketingexperience</t>
        </is>
      </c>
      <c r="F92" s="2" t="inlineStr">
        <is>
          <t>keytruda-v228:6-postmarketingexperience</t>
        </is>
      </c>
      <c r="G92" s="2" t="inlineStr">
        <is>
          <t>https://dailymed.nlm.nih.gov/dailymed/lookup.cfm?setid=9333c79b-d487-4538-a9f0-71b91a02b287&amp;version=219#S6.2</t>
        </is>
      </c>
      <c r="H92" s="2" t="inlineStr">
        <is>
          <t>https://dailymed.nlm.nih.gov/dailymed/lookup.cfm?setid=9333c79b-d487-4538-a9f0-71b91a02b287&amp;version=228#S6.2</t>
        </is>
      </c>
    </row>
    <row r="93">
      <c r="A93" s="2" t="inlineStr">
        <is>
          <t>keytruda</t>
        </is>
      </c>
      <c r="B93" s="2" t="inlineStr">
        <is>
          <t>8-geriatricuse</t>
        </is>
      </c>
      <c r="C93" s="2" t="inlineStr">
        <is>
          <t>8.5 Geriatric Use</t>
        </is>
      </c>
      <c r="D93" s="2" t="inlineStr">
        <is>
          <t>modified</t>
        </is>
      </c>
      <c r="E93" s="2" t="inlineStr">
        <is>
          <t>keytruda-v219:8-geriatricuse</t>
        </is>
      </c>
      <c r="F93" s="2" t="inlineStr">
        <is>
          <t>keytruda-v228:8-geriatricuse</t>
        </is>
      </c>
      <c r="G93" s="2" t="inlineStr">
        <is>
          <t>https://dailymed.nlm.nih.gov/dailymed/lookup.cfm?setid=9333c79b-d487-4538-a9f0-71b91a02b287&amp;version=219#S8.5</t>
        </is>
      </c>
      <c r="H93" s="2" t="inlineStr">
        <is>
          <t>https://dailymed.nlm.nih.gov/dailymed/lookup.cfm?setid=9333c79b-d487-4538-a9f0-71b91a02b287&amp;version=228#S8.5</t>
        </is>
      </c>
    </row>
    <row r="94">
      <c r="A94" s="2" t="inlineStr">
        <is>
          <t>keytruda</t>
        </is>
      </c>
      <c r="B94" s="2" t="inlineStr">
        <is>
          <t>8-pediatricuse</t>
        </is>
      </c>
      <c r="C94" s="2" t="inlineStr">
        <is>
          <t>8.4 Pediatric Use</t>
        </is>
      </c>
      <c r="D94" s="2" t="inlineStr">
        <is>
          <t>unchanged</t>
        </is>
      </c>
      <c r="E94" s="2" t="inlineStr">
        <is>
          <t>keytruda-v219:8-pediatricuse</t>
        </is>
      </c>
      <c r="F94" s="2" t="inlineStr">
        <is>
          <t>keytruda-v228:8-pediatricuse</t>
        </is>
      </c>
      <c r="G94" s="2" t="inlineStr">
        <is>
          <t>https://dailymed.nlm.nih.gov/dailymed/lookup.cfm?setid=9333c79b-d487-4538-a9f0-71b91a02b287&amp;version=219#S8.4</t>
        </is>
      </c>
      <c r="H94" s="2" t="inlineStr">
        <is>
          <t>https://dailymed.nlm.nih.gov/dailymed/lookup.cfm?setid=9333c79b-d487-4538-a9f0-71b91a02b287&amp;version=228#S8.4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65" customWidth="1" min="5" max="5"/>
    <col width="20" customWidth="1" min="6" max="6"/>
    <col width="57" customWidth="1" min="7" max="7"/>
  </cols>
  <sheetData>
    <row r="1">
      <c r="A1" s="1" t="inlineStr">
        <is>
          <t>case_id</t>
        </is>
      </c>
      <c r="B1" s="1" t="inlineStr">
        <is>
          <t>family</t>
        </is>
      </c>
      <c r="C1" s="1" t="inlineStr">
        <is>
          <t>split</t>
        </is>
      </c>
      <c r="D1" s="1" t="inlineStr">
        <is>
          <t>product</t>
        </is>
      </c>
      <c r="E1" s="1" t="inlineStr">
        <is>
          <t>claim</t>
        </is>
      </c>
      <c r="F1" s="1" t="inlineStr">
        <is>
          <t>expected_supported</t>
        </is>
      </c>
      <c r="G1" s="1" t="inlineStr">
        <is>
          <t>evidence_id</t>
        </is>
      </c>
    </row>
    <row r="2">
      <c r="A2" s="2" t="inlineStr">
        <is>
          <t>PE-01-1</t>
        </is>
      </c>
      <c r="B2" s="2" t="inlineStr">
        <is>
          <t>F01</t>
        </is>
      </c>
      <c r="C2" s="2" t="inlineStr">
        <is>
          <t>development</t>
        </is>
      </c>
      <c r="D2" s="2" t="inlineStr">
        <is>
          <t>winrevair</t>
        </is>
      </c>
      <c r="E2" s="2" t="inlineStr">
        <is>
          <t>WINREVAIR™ is indicated for the treatment of adults with pulmonary arterial hypertension (PAH, Group 1 pulmonary hypertension) to improve exercise capacity and World Health Organization (WHO) functional class (FC), and reduce the risk of clinical worsening events including hospitalization for PAH, lung transplantation and death [see Clinical Studies (14.1) ] .</t>
        </is>
      </c>
      <c r="F2" s="2" t="b">
        <v>1</v>
      </c>
      <c r="G2" s="2" t="inlineStr">
        <is>
          <t>winrevair-v13:1-indicationsandusage:p1</t>
        </is>
      </c>
    </row>
    <row r="3">
      <c r="A3" s="2" t="inlineStr">
        <is>
          <t>PE-01-2</t>
        </is>
      </c>
      <c r="B3" s="2" t="inlineStr">
        <is>
          <t>F01</t>
        </is>
      </c>
      <c r="C3" s="2" t="inlineStr">
        <is>
          <t>development</t>
        </is>
      </c>
      <c r="D3" s="2" t="inlineStr">
        <is>
          <t>winrevair</t>
        </is>
      </c>
      <c r="E3" s="2" t="inlineStr">
        <is>
          <t>WINREVAIR is indicated for adults with PAH, Group 1 pulmonary hypertension, to improve exercise capacity and WHO functional class and reduce the risk of clinical worsening events including hospitalization for PAH, lung transplantation and death.</t>
        </is>
      </c>
      <c r="F3" s="2" t="b">
        <v>1</v>
      </c>
      <c r="G3" s="2" t="inlineStr">
        <is>
          <t>winrevair-v13:1-indicationsandusage:p1</t>
        </is>
      </c>
    </row>
    <row r="4">
      <c r="A4" s="2" t="inlineStr">
        <is>
          <t>PE-01-3</t>
        </is>
      </c>
      <c r="B4" s="2" t="inlineStr">
        <is>
          <t>F01</t>
        </is>
      </c>
      <c r="C4" s="2" t="inlineStr">
        <is>
          <t>development</t>
        </is>
      </c>
      <c r="D4" s="2" t="inlineStr">
        <is>
          <t>winrevair</t>
        </is>
      </c>
      <c r="E4" s="2" t="inlineStr">
        <is>
          <t>WINREVAIR is indicated for children of every age with all forms of pulmonary hypertension.</t>
        </is>
      </c>
      <c r="F4" s="2" t="b">
        <v>0</v>
      </c>
      <c r="G4" s="2" t="inlineStr">
        <is>
          <t>winrevair-v13:1-indicationsandusage:p1</t>
        </is>
      </c>
    </row>
    <row r="5">
      <c r="A5" s="2" t="inlineStr">
        <is>
          <t>PE-01-4</t>
        </is>
      </c>
      <c r="B5" s="2" t="inlineStr">
        <is>
          <t>F01</t>
        </is>
      </c>
      <c r="C5" s="2" t="inlineStr">
        <is>
          <t>development</t>
        </is>
      </c>
      <c r="D5" s="2" t="inlineStr">
        <is>
          <t>winrevair</t>
        </is>
      </c>
      <c r="E5" s="2" t="inlineStr">
        <is>
          <t>WINREVAIR is indicated for adults with WHO Group 5 pulmonary hypertension.</t>
        </is>
      </c>
      <c r="F5" s="2" t="b">
        <v>0</v>
      </c>
      <c r="G5" s="2" t="inlineStr">
        <is>
          <t>winrevair-v13:1-indicationsandusage:p1</t>
        </is>
      </c>
    </row>
    <row r="6">
      <c r="A6" s="2" t="inlineStr">
        <is>
          <t>PE-01-5</t>
        </is>
      </c>
      <c r="B6" s="2" t="inlineStr">
        <is>
          <t>F01</t>
        </is>
      </c>
      <c r="C6" s="2" t="inlineStr">
        <is>
          <t>development</t>
        </is>
      </c>
      <c r="D6" s="2" t="inlineStr">
        <is>
          <t>winrevair</t>
        </is>
      </c>
      <c r="E6" s="2" t="inlineStr">
        <is>
          <t>WINREVAIR™ is indicated for the treatment of adults with pulmonary arterial hypertension (PAH, Group 1 pulmonary hypertension) to improve exercise capacity and World Health Organization (WHO) functional class (FC), and reduce the risk of clinical worsening events including hospitalization for PAH, lung transplantation and death [see Clinical Studies (14.1) ] and is superior to all alternative medicines.</t>
        </is>
      </c>
      <c r="F6" s="2" t="b">
        <v>0</v>
      </c>
      <c r="G6" s="2" t="inlineStr">
        <is>
          <t>winrevair-v13:1-indicationsandusage:p1</t>
        </is>
      </c>
    </row>
    <row r="7">
      <c r="A7" s="2" t="inlineStr">
        <is>
          <t>PE-01-6</t>
        </is>
      </c>
      <c r="B7" s="2" t="inlineStr">
        <is>
          <t>F01</t>
        </is>
      </c>
      <c r="C7" s="2" t="inlineStr">
        <is>
          <t>development</t>
        </is>
      </c>
      <c r="D7" s="2" t="inlineStr">
        <is>
          <t>winrevair</t>
        </is>
      </c>
      <c r="E7" s="2" t="inlineStr">
        <is>
          <t>WINREVAIR™ is indicated for the treatment of adults with pulmonary arterial hypertension (PAH, Group 1 pulmonary hypertension) to improve exercise capacity and World Health Organization (WHO) functional class (FC), and reduce the risk of clinical worsening events including hospitalization for PAH, lung transplantation and death [see Clinical Studies (14.1) ] and guarantees a complete cure without any adverse reactions.</t>
        </is>
      </c>
      <c r="F7" s="2" t="b">
        <v>0</v>
      </c>
      <c r="G7" s="2" t="inlineStr">
        <is>
          <t>winrevair-v13:1-indicationsandusage:p1</t>
        </is>
      </c>
    </row>
    <row r="8">
      <c r="A8" s="2" t="inlineStr">
        <is>
          <t>PE-02-1</t>
        </is>
      </c>
      <c r="B8" s="2" t="inlineStr">
        <is>
          <t>F02</t>
        </is>
      </c>
      <c r="C8" s="2" t="inlineStr">
        <is>
          <t>holdout</t>
        </is>
      </c>
      <c r="D8" s="2" t="inlineStr">
        <is>
          <t>keytruda</t>
        </is>
      </c>
      <c r="E8" s="2" t="inlineStr">
        <is>
          <t>KEYTRUDA ® is indicated for the treatment of patients with unresectable or metastatic melanoma.</t>
        </is>
      </c>
      <c r="F8" s="2" t="b">
        <v>1</v>
      </c>
      <c r="G8" s="2" t="inlineStr">
        <is>
          <t>keytruda-v228:1-melanoma:p1</t>
        </is>
      </c>
    </row>
    <row r="9">
      <c r="A9" s="2" t="inlineStr">
        <is>
          <t>PE-02-2</t>
        </is>
      </c>
      <c r="B9" s="2" t="inlineStr">
        <is>
          <t>F02</t>
        </is>
      </c>
      <c r="C9" s="2" t="inlineStr">
        <is>
          <t>holdout</t>
        </is>
      </c>
      <c r="D9" s="2" t="inlineStr">
        <is>
          <t>keytruda</t>
        </is>
      </c>
      <c r="E9" s="2" t="inlineStr">
        <is>
          <t>KEYTRUDA is indicated to treat unresectable or metastatic melanoma.</t>
        </is>
      </c>
      <c r="F9" s="2" t="b">
        <v>1</v>
      </c>
      <c r="G9" s="2" t="inlineStr">
        <is>
          <t>keytruda-v228:1-melanoma:p1</t>
        </is>
      </c>
    </row>
    <row r="10">
      <c r="A10" s="2" t="inlineStr">
        <is>
          <t>PE-02-3</t>
        </is>
      </c>
      <c r="B10" s="2" t="inlineStr">
        <is>
          <t>F02</t>
        </is>
      </c>
      <c r="C10" s="2" t="inlineStr">
        <is>
          <t>holdout</t>
        </is>
      </c>
      <c r="D10" s="2" t="inlineStr">
        <is>
          <t>keytruda</t>
        </is>
      </c>
      <c r="E10" s="2" t="inlineStr">
        <is>
          <t>KEYTRUDA is indicated only for fully resected, nonmetastatic melanoma.</t>
        </is>
      </c>
      <c r="F10" s="2" t="b">
        <v>0</v>
      </c>
      <c r="G10" s="2" t="inlineStr">
        <is>
          <t>keytruda-v228:1-melanoma:p1</t>
        </is>
      </c>
    </row>
    <row r="11">
      <c r="A11" s="2" t="inlineStr">
        <is>
          <t>PE-02-4</t>
        </is>
      </c>
      <c r="B11" s="2" t="inlineStr">
        <is>
          <t>F02</t>
        </is>
      </c>
      <c r="C11" s="2" t="inlineStr">
        <is>
          <t>holdout</t>
        </is>
      </c>
      <c r="D11" s="2" t="inlineStr">
        <is>
          <t>keytruda</t>
        </is>
      </c>
      <c r="E11" s="2" t="inlineStr">
        <is>
          <t>KEYTRUDA cures every form of melanoma.</t>
        </is>
      </c>
      <c r="F11" s="2" t="b">
        <v>0</v>
      </c>
      <c r="G11" s="2" t="inlineStr">
        <is>
          <t>keytruda-v228:1-melanoma:p1</t>
        </is>
      </c>
    </row>
    <row r="12">
      <c r="A12" s="2" t="inlineStr">
        <is>
          <t>PE-02-5</t>
        </is>
      </c>
      <c r="B12" s="2" t="inlineStr">
        <is>
          <t>F02</t>
        </is>
      </c>
      <c r="C12" s="2" t="inlineStr">
        <is>
          <t>holdout</t>
        </is>
      </c>
      <c r="D12" s="2" t="inlineStr">
        <is>
          <t>keytruda</t>
        </is>
      </c>
      <c r="E12" s="2" t="inlineStr">
        <is>
          <t>KEYTRUDA ® is indicated for the treatment of patients with unresectable or metastatic melanoma and is superior to all alternative medicines.</t>
        </is>
      </c>
      <c r="F12" s="2" t="b">
        <v>0</v>
      </c>
      <c r="G12" s="2" t="inlineStr">
        <is>
          <t>keytruda-v228:1-melanoma:p1</t>
        </is>
      </c>
    </row>
    <row r="13">
      <c r="A13" s="2" t="inlineStr">
        <is>
          <t>PE-02-6</t>
        </is>
      </c>
      <c r="B13" s="2" t="inlineStr">
        <is>
          <t>F02</t>
        </is>
      </c>
      <c r="C13" s="2" t="inlineStr">
        <is>
          <t>holdout</t>
        </is>
      </c>
      <c r="D13" s="2" t="inlineStr">
        <is>
          <t>keytruda</t>
        </is>
      </c>
      <c r="E13" s="2" t="inlineStr">
        <is>
          <t>KEYTRUDA ® is indicated for the treatment of patients with unresectable or metastatic melanoma and guarantees a complete cure without any adverse reactions.</t>
        </is>
      </c>
      <c r="F13" s="2" t="b">
        <v>0</v>
      </c>
      <c r="G13" s="2" t="inlineStr">
        <is>
          <t>keytruda-v228:1-melanoma:p1</t>
        </is>
      </c>
    </row>
    <row r="14">
      <c r="A14" s="2" t="inlineStr">
        <is>
          <t>PE-03-1</t>
        </is>
      </c>
      <c r="B14" s="2" t="inlineStr">
        <is>
          <t>F03</t>
        </is>
      </c>
      <c r="C14" s="2" t="inlineStr">
        <is>
          <t>development</t>
        </is>
      </c>
      <c r="D14" s="2" t="inlineStr">
        <is>
          <t>winrevair</t>
        </is>
      </c>
      <c r="E14" s="2" t="inlineStr">
        <is>
          <t>WINREVAIR is administered once every 3 weeks by subcutaneous injection according to patient body weight.</t>
        </is>
      </c>
      <c r="F14" s="2" t="b">
        <v>1</v>
      </c>
      <c r="G14" s="2" t="inlineStr">
        <is>
          <t>winrevair-v13:2-recommendedstartingdosage:p1</t>
        </is>
      </c>
    </row>
    <row r="15">
      <c r="A15" s="2" t="inlineStr">
        <is>
          <t>PE-03-2</t>
        </is>
      </c>
      <c r="B15" s="2" t="inlineStr">
        <is>
          <t>F03</t>
        </is>
      </c>
      <c r="C15" s="2" t="inlineStr">
        <is>
          <t>development</t>
        </is>
      </c>
      <c r="D15" s="2" t="inlineStr">
        <is>
          <t>winrevair</t>
        </is>
      </c>
      <c r="E15" s="2" t="inlineStr">
        <is>
          <t>WINREVAIR is administered by subcutaneous injection once every three weeks according to body weight.</t>
        </is>
      </c>
      <c r="F15" s="2" t="b">
        <v>1</v>
      </c>
      <c r="G15" s="2" t="inlineStr">
        <is>
          <t>winrevair-v13:2-recommendedstartingdosage:p1</t>
        </is>
      </c>
    </row>
    <row r="16">
      <c r="A16" s="2" t="inlineStr">
        <is>
          <t>PE-03-3</t>
        </is>
      </c>
      <c r="B16" s="2" t="inlineStr">
        <is>
          <t>F03</t>
        </is>
      </c>
      <c r="C16" s="2" t="inlineStr">
        <is>
          <t>development</t>
        </is>
      </c>
      <c r="D16" s="2" t="inlineStr">
        <is>
          <t>winrevair</t>
        </is>
      </c>
      <c r="E16" s="2" t="inlineStr">
        <is>
          <t>WINREVAIR is administered by oral tablet every day.</t>
        </is>
      </c>
      <c r="F16" s="2" t="b">
        <v>0</v>
      </c>
      <c r="G16" s="2" t="inlineStr">
        <is>
          <t>winrevair-v13:2-recommendedstartingdosage:p1</t>
        </is>
      </c>
    </row>
    <row r="17">
      <c r="A17" s="2" t="inlineStr">
        <is>
          <t>PE-03-4</t>
        </is>
      </c>
      <c r="B17" s="2" t="inlineStr">
        <is>
          <t>F03</t>
        </is>
      </c>
      <c r="C17" s="2" t="inlineStr">
        <is>
          <t>development</t>
        </is>
      </c>
      <c r="D17" s="2" t="inlineStr">
        <is>
          <t>winrevair</t>
        </is>
      </c>
      <c r="E17" s="2" t="inlineStr">
        <is>
          <t>WINREVAIR is administered once every 2 weeks by intravenous injection.</t>
        </is>
      </c>
      <c r="F17" s="2" t="b">
        <v>0</v>
      </c>
      <c r="G17" s="2" t="inlineStr">
        <is>
          <t>winrevair-v13:2-recommendedstartingdosage:p1</t>
        </is>
      </c>
    </row>
    <row r="18">
      <c r="A18" s="2" t="inlineStr">
        <is>
          <t>PE-03-5</t>
        </is>
      </c>
      <c r="B18" s="2" t="inlineStr">
        <is>
          <t>F03</t>
        </is>
      </c>
      <c r="C18" s="2" t="inlineStr">
        <is>
          <t>development</t>
        </is>
      </c>
      <c r="D18" s="2" t="inlineStr">
        <is>
          <t>winrevair</t>
        </is>
      </c>
      <c r="E18" s="2" t="inlineStr">
        <is>
          <t>WINREVAIR is administered once every 3 weeks by subcutaneous injection according to patient body weight and is superior to all alternative medicines.</t>
        </is>
      </c>
      <c r="F18" s="2" t="b">
        <v>0</v>
      </c>
      <c r="G18" s="2" t="inlineStr">
        <is>
          <t>winrevair-v13:2-recommendedstartingdosage:p1</t>
        </is>
      </c>
    </row>
    <row r="19">
      <c r="A19" s="2" t="inlineStr">
        <is>
          <t>PE-03-6</t>
        </is>
      </c>
      <c r="B19" s="2" t="inlineStr">
        <is>
          <t>F03</t>
        </is>
      </c>
      <c r="C19" s="2" t="inlineStr">
        <is>
          <t>development</t>
        </is>
      </c>
      <c r="D19" s="2" t="inlineStr">
        <is>
          <t>winrevair</t>
        </is>
      </c>
      <c r="E19" s="2" t="inlineStr">
        <is>
          <t>WINREVAIR is administered once every 3 weeks by subcutaneous injection according to patient body weight and guarantees a complete cure without any adverse reactions.</t>
        </is>
      </c>
      <c r="F19" s="2" t="b">
        <v>0</v>
      </c>
      <c r="G19" s="2" t="inlineStr">
        <is>
          <t>winrevair-v13:2-recommendedstartingdosage:p1</t>
        </is>
      </c>
    </row>
    <row r="20">
      <c r="A20" s="2" t="inlineStr">
        <is>
          <t>PE-04-1</t>
        </is>
      </c>
      <c r="B20" s="2" t="inlineStr">
        <is>
          <t>F04</t>
        </is>
      </c>
      <c r="C20" s="2" t="inlineStr">
        <is>
          <t>holdout</t>
        </is>
      </c>
      <c r="D20" s="2" t="inlineStr">
        <is>
          <t>keytruda</t>
        </is>
      </c>
      <c r="E20" s="2" t="inlineStr">
        <is>
          <t>KEYTRUDA, in combination with pemetrexed and platinum chemotherapy, is indicated for the first-line treatment of adult patients with unresectable advanced or metastatic malignant pleural mesothelioma (MPM).</t>
        </is>
      </c>
      <c r="F20" s="2" t="b">
        <v>1</v>
      </c>
      <c r="G20" s="2" t="inlineStr">
        <is>
          <t>keytruda-v228:1-malignantpleuralmesothelioma:p1</t>
        </is>
      </c>
    </row>
    <row r="21">
      <c r="A21" s="2" t="inlineStr">
        <is>
          <t>PE-04-2</t>
        </is>
      </c>
      <c r="B21" s="2" t="inlineStr">
        <is>
          <t>F04</t>
        </is>
      </c>
      <c r="C21" s="2" t="inlineStr">
        <is>
          <t>holdout</t>
        </is>
      </c>
      <c r="D21" s="2" t="inlineStr">
        <is>
          <t>keytruda</t>
        </is>
      </c>
      <c r="E21" s="2" t="inlineStr">
        <is>
          <t>KEYTRUDA with pemetrexed and platinum chemotherapy is indicated as first-line treatment for adults with unresectable advanced or metastatic malignant pleural mesothelioma.</t>
        </is>
      </c>
      <c r="F21" s="2" t="b">
        <v>1</v>
      </c>
      <c r="G21" s="2" t="inlineStr">
        <is>
          <t>keytruda-v228:1-malignantpleuralmesothelioma:p1</t>
        </is>
      </c>
    </row>
    <row r="22">
      <c r="A22" s="2" t="inlineStr">
        <is>
          <t>PE-04-3</t>
        </is>
      </c>
      <c r="B22" s="2" t="inlineStr">
        <is>
          <t>F04</t>
        </is>
      </c>
      <c r="C22" s="2" t="inlineStr">
        <is>
          <t>holdout</t>
        </is>
      </c>
      <c r="D22" s="2" t="inlineStr">
        <is>
          <t>keytruda</t>
        </is>
      </c>
      <c r="E22" s="2" t="inlineStr">
        <is>
          <t>KEYTRUDA alone is indicated for all children with resectable malignant pleural mesothelioma.</t>
        </is>
      </c>
      <c r="F22" s="2" t="b">
        <v>0</v>
      </c>
      <c r="G22" s="2" t="inlineStr">
        <is>
          <t>keytruda-v228:1-malignantpleuralmesothelioma:p1</t>
        </is>
      </c>
    </row>
    <row r="23">
      <c r="A23" s="2" t="inlineStr">
        <is>
          <t>PE-04-4</t>
        </is>
      </c>
      <c r="B23" s="2" t="inlineStr">
        <is>
          <t>F04</t>
        </is>
      </c>
      <c r="C23" s="2" t="inlineStr">
        <is>
          <t>holdout</t>
        </is>
      </c>
      <c r="D23" s="2" t="inlineStr">
        <is>
          <t>keytruda</t>
        </is>
      </c>
      <c r="E23" s="2" t="inlineStr">
        <is>
          <t>KEYTRUDA is indicated for mesothelioma without any requirement for combination chemotherapy or disease setting.</t>
        </is>
      </c>
      <c r="F23" s="2" t="b">
        <v>0</v>
      </c>
      <c r="G23" s="2" t="inlineStr">
        <is>
          <t>keytruda-v228:1-malignantpleuralmesothelioma:p1</t>
        </is>
      </c>
    </row>
    <row r="24">
      <c r="A24" s="2" t="inlineStr">
        <is>
          <t>PE-04-5</t>
        </is>
      </c>
      <c r="B24" s="2" t="inlineStr">
        <is>
          <t>F04</t>
        </is>
      </c>
      <c r="C24" s="2" t="inlineStr">
        <is>
          <t>holdout</t>
        </is>
      </c>
      <c r="D24" s="2" t="inlineStr">
        <is>
          <t>keytruda</t>
        </is>
      </c>
      <c r="E24" s="2" t="inlineStr">
        <is>
          <t>KEYTRUDA, in combination with pemetrexed and platinum chemotherapy, is indicated for the first-line treatment of adult patients with unresectable advanced or metastatic malignant pleural mesothelioma (MPM) and is superior to all alternative medicines.</t>
        </is>
      </c>
      <c r="F24" s="2" t="b">
        <v>0</v>
      </c>
      <c r="G24" s="2" t="inlineStr">
        <is>
          <t>keytruda-v228:1-malignantpleuralmesothelioma:p1</t>
        </is>
      </c>
    </row>
    <row r="25">
      <c r="A25" s="2" t="inlineStr">
        <is>
          <t>PE-04-6</t>
        </is>
      </c>
      <c r="B25" s="2" t="inlineStr">
        <is>
          <t>F04</t>
        </is>
      </c>
      <c r="C25" s="2" t="inlineStr">
        <is>
          <t>holdout</t>
        </is>
      </c>
      <c r="D25" s="2" t="inlineStr">
        <is>
          <t>keytruda</t>
        </is>
      </c>
      <c r="E25" s="2" t="inlineStr">
        <is>
          <t>KEYTRUDA, in combination with pemetrexed and platinum chemotherapy, is indicated for the first-line treatment of adult patients with unresectable advanced or metastatic malignant pleural mesothelioma (MPM) and guarantees a complete cure without any adverse reactions.</t>
        </is>
      </c>
      <c r="F25" s="2" t="b">
        <v>0</v>
      </c>
      <c r="G25" s="2" t="inlineStr">
        <is>
          <t>keytruda-v228:1-malignantpleuralmesothelioma:p1</t>
        </is>
      </c>
    </row>
    <row r="26">
      <c r="A26" s="2" t="inlineStr">
        <is>
          <t>PE-05-1</t>
        </is>
      </c>
      <c r="B26" s="2" t="inlineStr">
        <is>
          <t>F05</t>
        </is>
      </c>
      <c r="C26" s="2" t="inlineStr">
        <is>
          <t>development</t>
        </is>
      </c>
      <c r="D26" s="2" t="inlineStr">
        <is>
          <t>winrevair</t>
        </is>
      </c>
      <c r="E26" s="2" t="inlineStr">
        <is>
          <t>The starting dose of WINREVAIR is 0.3 mg/kg.</t>
        </is>
      </c>
      <c r="F26" s="2" t="b">
        <v>1</v>
      </c>
      <c r="G26" s="2" t="inlineStr">
        <is>
          <t>winrevair-v13:2-recommendedstartingdosage:p2</t>
        </is>
      </c>
    </row>
    <row r="27">
      <c r="A27" s="2" t="inlineStr">
        <is>
          <t>PE-05-2</t>
        </is>
      </c>
      <c r="B27" s="2" t="inlineStr">
        <is>
          <t>F05</t>
        </is>
      </c>
      <c r="C27" s="2" t="inlineStr">
        <is>
          <t>development</t>
        </is>
      </c>
      <c r="D27" s="2" t="inlineStr">
        <is>
          <t>winrevair</t>
        </is>
      </c>
      <c r="E27" s="2" t="inlineStr">
        <is>
          <t>The starting dose of WINREVAIR is 0.3 mg/kg.</t>
        </is>
      </c>
      <c r="F27" s="2" t="b">
        <v>1</v>
      </c>
      <c r="G27" s="2" t="inlineStr">
        <is>
          <t>winrevair-v13:2-recommendedstartingdosage:p2</t>
        </is>
      </c>
    </row>
    <row r="28">
      <c r="A28" s="2" t="inlineStr">
        <is>
          <t>PE-05-3</t>
        </is>
      </c>
      <c r="B28" s="2" t="inlineStr">
        <is>
          <t>F05</t>
        </is>
      </c>
      <c r="C28" s="2" t="inlineStr">
        <is>
          <t>development</t>
        </is>
      </c>
      <c r="D28" s="2" t="inlineStr">
        <is>
          <t>winrevair</t>
        </is>
      </c>
      <c r="E28" s="2" t="inlineStr">
        <is>
          <t>The starting dose of WINREVAIR is 0.7 mg/kg.</t>
        </is>
      </c>
      <c r="F28" s="2" t="b">
        <v>0</v>
      </c>
      <c r="G28" s="2" t="inlineStr">
        <is>
          <t>winrevair-v13:2-recommendedstartingdosage:p2</t>
        </is>
      </c>
    </row>
    <row r="29">
      <c r="A29" s="2" t="inlineStr">
        <is>
          <t>PE-05-4</t>
        </is>
      </c>
      <c r="B29" s="2" t="inlineStr">
        <is>
          <t>F05</t>
        </is>
      </c>
      <c r="C29" s="2" t="inlineStr">
        <is>
          <t>development</t>
        </is>
      </c>
      <c r="D29" s="2" t="inlineStr">
        <is>
          <t>winrevair</t>
        </is>
      </c>
      <c r="E29" s="2" t="inlineStr">
        <is>
          <t>The starting dose of WINREVAIR is 3 mg/kg.</t>
        </is>
      </c>
      <c r="F29" s="2" t="b">
        <v>0</v>
      </c>
      <c r="G29" s="2" t="inlineStr">
        <is>
          <t>winrevair-v13:2-recommendedstartingdosage:p2</t>
        </is>
      </c>
    </row>
    <row r="30">
      <c r="A30" s="2" t="inlineStr">
        <is>
          <t>PE-05-5</t>
        </is>
      </c>
      <c r="B30" s="2" t="inlineStr">
        <is>
          <t>F05</t>
        </is>
      </c>
      <c r="C30" s="2" t="inlineStr">
        <is>
          <t>development</t>
        </is>
      </c>
      <c r="D30" s="2" t="inlineStr">
        <is>
          <t>winrevair</t>
        </is>
      </c>
      <c r="E30" s="2" t="inlineStr">
        <is>
          <t>The starting dose of WINREVAIR is 0.3 mg/kg and is superior to all alternative medicines.</t>
        </is>
      </c>
      <c r="F30" s="2" t="b">
        <v>0</v>
      </c>
      <c r="G30" s="2" t="inlineStr">
        <is>
          <t>winrevair-v13:2-recommendedstartingdosage:p2</t>
        </is>
      </c>
    </row>
    <row r="31">
      <c r="A31" s="2" t="inlineStr">
        <is>
          <t>PE-05-6</t>
        </is>
      </c>
      <c r="B31" s="2" t="inlineStr">
        <is>
          <t>F05</t>
        </is>
      </c>
      <c r="C31" s="2" t="inlineStr">
        <is>
          <t>development</t>
        </is>
      </c>
      <c r="D31" s="2" t="inlineStr">
        <is>
          <t>winrevair</t>
        </is>
      </c>
      <c r="E31" s="2" t="inlineStr">
        <is>
          <t>The starting dose of WINREVAIR is 0.3 mg/kg and guarantees a complete cure without any adverse reactions.</t>
        </is>
      </c>
      <c r="F31" s="2" t="b">
        <v>0</v>
      </c>
      <c r="G31" s="2" t="inlineStr">
        <is>
          <t>winrevair-v13:2-recommendedstartingdosage:p2</t>
        </is>
      </c>
    </row>
    <row r="32">
      <c r="A32" s="2" t="inlineStr">
        <is>
          <t>PE-06-1</t>
        </is>
      </c>
      <c r="B32" s="2" t="inlineStr">
        <is>
          <t>F06</t>
        </is>
      </c>
      <c r="C32" s="2" t="inlineStr">
        <is>
          <t>development</t>
        </is>
      </c>
      <c r="D32" s="2" t="inlineStr">
        <is>
          <t>keytruda</t>
        </is>
      </c>
      <c r="E32" s="2" t="inlineStr">
        <is>
          <t>KEYTRUDA is indicated for the treatment of adult patients with relapsed or refractory classical Hodgkin lymphoma (cHL).</t>
        </is>
      </c>
      <c r="F32" s="2" t="b">
        <v>1</v>
      </c>
      <c r="G32" s="2" t="inlineStr">
        <is>
          <t>keytruda-v228:1-classicalhodgkinlymphoma:p1</t>
        </is>
      </c>
    </row>
    <row r="33">
      <c r="A33" s="2" t="inlineStr">
        <is>
          <t>PE-06-2</t>
        </is>
      </c>
      <c r="B33" s="2" t="inlineStr">
        <is>
          <t>F06</t>
        </is>
      </c>
      <c r="C33" s="2" t="inlineStr">
        <is>
          <t>development</t>
        </is>
      </c>
      <c r="D33" s="2" t="inlineStr">
        <is>
          <t>keytruda</t>
        </is>
      </c>
      <c r="E33" s="2" t="inlineStr">
        <is>
          <t>KEYTRUDA is indicated to treat adults with relapsed or refractory classical Hodgkin lymphoma.</t>
        </is>
      </c>
      <c r="F33" s="2" t="b">
        <v>1</v>
      </c>
      <c r="G33" s="2" t="inlineStr">
        <is>
          <t>keytruda-v228:1-classicalhodgkinlymphoma:p1</t>
        </is>
      </c>
    </row>
    <row r="34">
      <c r="A34" s="2" t="inlineStr">
        <is>
          <t>PE-06-3</t>
        </is>
      </c>
      <c r="B34" s="2" t="inlineStr">
        <is>
          <t>F06</t>
        </is>
      </c>
      <c r="C34" s="2" t="inlineStr">
        <is>
          <t>development</t>
        </is>
      </c>
      <c r="D34" s="2" t="inlineStr">
        <is>
          <t>keytruda</t>
        </is>
      </c>
      <c r="E34" s="2" t="inlineStr">
        <is>
          <t>KEYTRUDA is indicated only for newly diagnosed adults with classical Hodgkin lymphoma who have never received treatment.</t>
        </is>
      </c>
      <c r="F34" s="2" t="b">
        <v>0</v>
      </c>
      <c r="G34" s="2" t="inlineStr">
        <is>
          <t>keytruda-v228:1-classicalhodgkinlymphoma:p1</t>
        </is>
      </c>
    </row>
    <row r="35">
      <c r="A35" s="2" t="inlineStr">
        <is>
          <t>PE-06-4</t>
        </is>
      </c>
      <c r="B35" s="2" t="inlineStr">
        <is>
          <t>F06</t>
        </is>
      </c>
      <c r="C35" s="2" t="inlineStr">
        <is>
          <t>development</t>
        </is>
      </c>
      <c r="D35" s="2" t="inlineStr">
        <is>
          <t>keytruda</t>
        </is>
      </c>
      <c r="E35" s="2" t="inlineStr">
        <is>
          <t>KEYTRUDA cures all forms of lymphoma in every patient.</t>
        </is>
      </c>
      <c r="F35" s="2" t="b">
        <v>0</v>
      </c>
      <c r="G35" s="2" t="inlineStr">
        <is>
          <t>keytruda-v228:1-classicalhodgkinlymphoma:p1</t>
        </is>
      </c>
    </row>
    <row r="36">
      <c r="A36" s="2" t="inlineStr">
        <is>
          <t>PE-06-5</t>
        </is>
      </c>
      <c r="B36" s="2" t="inlineStr">
        <is>
          <t>F06</t>
        </is>
      </c>
      <c r="C36" s="2" t="inlineStr">
        <is>
          <t>development</t>
        </is>
      </c>
      <c r="D36" s="2" t="inlineStr">
        <is>
          <t>keytruda</t>
        </is>
      </c>
      <c r="E36" s="2" t="inlineStr">
        <is>
          <t>KEYTRUDA is indicated for the treatment of adult patients with relapsed or refractory classical Hodgkin lymphoma (cHL) and is superior to all alternative medicines.</t>
        </is>
      </c>
      <c r="F36" s="2" t="b">
        <v>0</v>
      </c>
      <c r="G36" s="2" t="inlineStr">
        <is>
          <t>keytruda-v228:1-classicalhodgkinlymphoma:p1</t>
        </is>
      </c>
    </row>
    <row r="37">
      <c r="A37" s="2" t="inlineStr">
        <is>
          <t>PE-06-6</t>
        </is>
      </c>
      <c r="B37" s="2" t="inlineStr">
        <is>
          <t>F06</t>
        </is>
      </c>
      <c r="C37" s="2" t="inlineStr">
        <is>
          <t>development</t>
        </is>
      </c>
      <c r="D37" s="2" t="inlineStr">
        <is>
          <t>keytruda</t>
        </is>
      </c>
      <c r="E37" s="2" t="inlineStr">
        <is>
          <t>KEYTRUDA is indicated for the treatment of adult patients with relapsed or refractory classical Hodgkin lymphoma (cHL) and guarantees a complete cure without any adverse reactions.</t>
        </is>
      </c>
      <c r="F37" s="2" t="b">
        <v>0</v>
      </c>
      <c r="G37" s="2" t="inlineStr">
        <is>
          <t>keytruda-v228:1-classicalhodgkinlymphoma:p1</t>
        </is>
      </c>
    </row>
    <row r="38">
      <c r="A38" s="2" t="inlineStr">
        <is>
          <t>PE-07-1</t>
        </is>
      </c>
      <c r="B38" s="2" t="inlineStr">
        <is>
          <t>F07</t>
        </is>
      </c>
      <c r="C38" s="2" t="inlineStr">
        <is>
          <t>holdout</t>
        </is>
      </c>
      <c r="D38" s="2" t="inlineStr">
        <is>
          <t>winrevair</t>
        </is>
      </c>
      <c r="E38" s="2" t="inlineStr">
        <is>
          <t>After verifying acceptable Hgb and platelet count, increase to the target dose of 0.7 mg/kg.</t>
        </is>
      </c>
      <c r="F38" s="2" t="b">
        <v>1</v>
      </c>
      <c r="G38" s="2" t="inlineStr">
        <is>
          <t>winrevair-v13:2-recommendedtargetdosage:p1</t>
        </is>
      </c>
    </row>
    <row r="39">
      <c r="A39" s="2" t="inlineStr">
        <is>
          <t>PE-07-2</t>
        </is>
      </c>
      <c r="B39" s="2" t="inlineStr">
        <is>
          <t>F07</t>
        </is>
      </c>
      <c r="C39" s="2" t="inlineStr">
        <is>
          <t>holdout</t>
        </is>
      </c>
      <c r="D39" s="2" t="inlineStr">
        <is>
          <t>winrevair</t>
        </is>
      </c>
      <c r="E39" s="2" t="inlineStr">
        <is>
          <t>After acceptable Hgb and platelet counts are verified, the WINREVAIR target dose is increased to 0.7 mg/kg.</t>
        </is>
      </c>
      <c r="F39" s="2" t="b">
        <v>1</v>
      </c>
      <c r="G39" s="2" t="inlineStr">
        <is>
          <t>winrevair-v13:2-recommendedtargetdosage:p1</t>
        </is>
      </c>
    </row>
    <row r="40">
      <c r="A40" s="2" t="inlineStr">
        <is>
          <t>PE-07-3</t>
        </is>
      </c>
      <c r="B40" s="2" t="inlineStr">
        <is>
          <t>F07</t>
        </is>
      </c>
      <c r="C40" s="2" t="inlineStr">
        <is>
          <t>holdout</t>
        </is>
      </c>
      <c r="D40" s="2" t="inlineStr">
        <is>
          <t>winrevair</t>
        </is>
      </c>
      <c r="E40" s="2" t="inlineStr">
        <is>
          <t>After acceptable Hgb and platelet counts are verified, the WINREVAIR target dose is increased to 7 mg/kg.</t>
        </is>
      </c>
      <c r="F40" s="2" t="b">
        <v>0</v>
      </c>
      <c r="G40" s="2" t="inlineStr">
        <is>
          <t>winrevair-v13:2-recommendedtargetdosage:p1</t>
        </is>
      </c>
    </row>
    <row r="41">
      <c r="A41" s="2" t="inlineStr">
        <is>
          <t>PE-07-4</t>
        </is>
      </c>
      <c r="B41" s="2" t="inlineStr">
        <is>
          <t>F07</t>
        </is>
      </c>
      <c r="C41" s="2" t="inlineStr">
        <is>
          <t>holdout</t>
        </is>
      </c>
      <c r="D41" s="2" t="inlineStr">
        <is>
          <t>winrevair</t>
        </is>
      </c>
      <c r="E41" s="2" t="inlineStr">
        <is>
          <t>WINREVAIR should be increased to 0.7 mg/kg without checking Hgb or platelets.</t>
        </is>
      </c>
      <c r="F41" s="2" t="b">
        <v>0</v>
      </c>
      <c r="G41" s="2" t="inlineStr">
        <is>
          <t>winrevair-v13:2-recommendedtargetdosage:p1</t>
        </is>
      </c>
    </row>
    <row r="42">
      <c r="A42" s="2" t="inlineStr">
        <is>
          <t>PE-07-5</t>
        </is>
      </c>
      <c r="B42" s="2" t="inlineStr">
        <is>
          <t>F07</t>
        </is>
      </c>
      <c r="C42" s="2" t="inlineStr">
        <is>
          <t>holdout</t>
        </is>
      </c>
      <c r="D42" s="2" t="inlineStr">
        <is>
          <t>winrevair</t>
        </is>
      </c>
      <c r="E42" s="2" t="inlineStr">
        <is>
          <t>After verifying acceptable Hgb and platelet count, increase to the target dose of 0.7 mg/kg and is superior to all alternative medicines.</t>
        </is>
      </c>
      <c r="F42" s="2" t="b">
        <v>0</v>
      </c>
      <c r="G42" s="2" t="inlineStr">
        <is>
          <t>winrevair-v13:2-recommendedtargetdosage:p1</t>
        </is>
      </c>
    </row>
    <row r="43">
      <c r="A43" s="2" t="inlineStr">
        <is>
          <t>PE-07-6</t>
        </is>
      </c>
      <c r="B43" s="2" t="inlineStr">
        <is>
          <t>F07</t>
        </is>
      </c>
      <c r="C43" s="2" t="inlineStr">
        <is>
          <t>holdout</t>
        </is>
      </c>
      <c r="D43" s="2" t="inlineStr">
        <is>
          <t>winrevair</t>
        </is>
      </c>
      <c r="E43" s="2" t="inlineStr">
        <is>
          <t>After verifying acceptable Hgb and platelet count, increase to the target dose of 0.7 mg/kg and guarantees a complete cure without any adverse reactions.</t>
        </is>
      </c>
      <c r="F43" s="2" t="b">
        <v>0</v>
      </c>
      <c r="G43" s="2" t="inlineStr">
        <is>
          <t>winrevair-v13:2-recommendedtargetdosage:p1</t>
        </is>
      </c>
    </row>
    <row r="44">
      <c r="A44" s="2" t="inlineStr">
        <is>
          <t>PE-08-1</t>
        </is>
      </c>
      <c r="B44" s="2" t="inlineStr">
        <is>
          <t>F08</t>
        </is>
      </c>
      <c r="C44" s="2" t="inlineStr">
        <is>
          <t>development</t>
        </is>
      </c>
      <c r="D44" s="2" t="inlineStr">
        <is>
          <t>keytruda</t>
        </is>
      </c>
      <c r="E44" s="2" t="inlineStr">
        <is>
          <t>KEYTRUDA is indicated for the treatment of adult and pediatric patients with refractory primary mediastinal large B-cell lymphoma (PMBCL), or who have relapsed after 2 or more prior lines of therapy.</t>
        </is>
      </c>
      <c r="F44" s="2" t="b">
        <v>1</v>
      </c>
      <c r="G44" s="2" t="inlineStr">
        <is>
          <t>keytruda-v228:1-primarymediastinallargebcelllymphoma:p1</t>
        </is>
      </c>
    </row>
    <row r="45">
      <c r="A45" s="2" t="inlineStr">
        <is>
          <t>PE-08-2</t>
        </is>
      </c>
      <c r="B45" s="2" t="inlineStr">
        <is>
          <t>F08</t>
        </is>
      </c>
      <c r="C45" s="2" t="inlineStr">
        <is>
          <t>development</t>
        </is>
      </c>
      <c r="D45" s="2" t="inlineStr">
        <is>
          <t>keytruda</t>
        </is>
      </c>
      <c r="E45" s="2" t="inlineStr">
        <is>
          <t>KEYTRUDA is indicated for adult and pediatric patients with refractory PMBCL, or relapse after at least two prior treatment lines.</t>
        </is>
      </c>
      <c r="F45" s="2" t="b">
        <v>1</v>
      </c>
      <c r="G45" s="2" t="inlineStr">
        <is>
          <t>keytruda-v228:1-primarymediastinallargebcelllymphoma:p1</t>
        </is>
      </c>
    </row>
    <row r="46">
      <c r="A46" s="2" t="inlineStr">
        <is>
          <t>PE-08-3</t>
        </is>
      </c>
      <c r="B46" s="2" t="inlineStr">
        <is>
          <t>F08</t>
        </is>
      </c>
      <c r="C46" s="2" t="inlineStr">
        <is>
          <t>development</t>
        </is>
      </c>
      <c r="D46" s="2" t="inlineStr">
        <is>
          <t>keytruda</t>
        </is>
      </c>
      <c r="E46" s="2" t="inlineStr">
        <is>
          <t>KEYTRUDA is indicated for every newly diagnosed PMBCL patient before any prior treatment.</t>
        </is>
      </c>
      <c r="F46" s="2" t="b">
        <v>0</v>
      </c>
      <c r="G46" s="2" t="inlineStr">
        <is>
          <t>keytruda-v228:1-primarymediastinallargebcelllymphoma:p1</t>
        </is>
      </c>
    </row>
    <row r="47">
      <c r="A47" s="2" t="inlineStr">
        <is>
          <t>PE-08-4</t>
        </is>
      </c>
      <c r="B47" s="2" t="inlineStr">
        <is>
          <t>F08</t>
        </is>
      </c>
      <c r="C47" s="2" t="inlineStr">
        <is>
          <t>development</t>
        </is>
      </c>
      <c r="D47" s="2" t="inlineStr">
        <is>
          <t>keytruda</t>
        </is>
      </c>
      <c r="E47" s="2" t="inlineStr">
        <is>
          <t>KEYTRUDA is indicated for PMBCL only in adults and is never indicated in pediatric patients.</t>
        </is>
      </c>
      <c r="F47" s="2" t="b">
        <v>0</v>
      </c>
      <c r="G47" s="2" t="inlineStr">
        <is>
          <t>keytruda-v228:1-primarymediastinallargebcelllymphoma:p1</t>
        </is>
      </c>
    </row>
    <row r="48">
      <c r="A48" s="2" t="inlineStr">
        <is>
          <t>PE-08-5</t>
        </is>
      </c>
      <c r="B48" s="2" t="inlineStr">
        <is>
          <t>F08</t>
        </is>
      </c>
      <c r="C48" s="2" t="inlineStr">
        <is>
          <t>development</t>
        </is>
      </c>
      <c r="D48" s="2" t="inlineStr">
        <is>
          <t>keytruda</t>
        </is>
      </c>
      <c r="E48" s="2" t="inlineStr">
        <is>
          <t>KEYTRUDA is indicated for the treatment of adult and pediatric patients with refractory primary mediastinal large B-cell lymphoma (PMBCL), or who have relapsed after 2 or more prior lines of therapy and is superior to all alternative medicines.</t>
        </is>
      </c>
      <c r="F48" s="2" t="b">
        <v>0</v>
      </c>
      <c r="G48" s="2" t="inlineStr">
        <is>
          <t>keytruda-v228:1-primarymediastinallargebcelllymphoma:p1</t>
        </is>
      </c>
    </row>
    <row r="49">
      <c r="A49" s="2" t="inlineStr">
        <is>
          <t>PE-08-6</t>
        </is>
      </c>
      <c r="B49" s="2" t="inlineStr">
        <is>
          <t>F08</t>
        </is>
      </c>
      <c r="C49" s="2" t="inlineStr">
        <is>
          <t>development</t>
        </is>
      </c>
      <c r="D49" s="2" t="inlineStr">
        <is>
          <t>keytruda</t>
        </is>
      </c>
      <c r="E49" s="2" t="inlineStr">
        <is>
          <t>KEYTRUDA is indicated for the treatment of adult and pediatric patients with refractory primary mediastinal large B-cell lymphoma (PMBCL), or who have relapsed after 2 or more prior lines of therapy and guarantees a complete cure without any adverse reactions.</t>
        </is>
      </c>
      <c r="F49" s="2" t="b">
        <v>0</v>
      </c>
      <c r="G49" s="2" t="inlineStr">
        <is>
          <t>keytruda-v228:1-primarymediastinallargebcelllymphoma:p1</t>
        </is>
      </c>
    </row>
    <row r="50">
      <c r="A50" s="2" t="inlineStr">
        <is>
          <t>PE-09-1</t>
        </is>
      </c>
      <c r="B50" s="2" t="inlineStr">
        <is>
          <t>F09</t>
        </is>
      </c>
      <c r="C50" s="2" t="inlineStr">
        <is>
          <t>holdout</t>
        </is>
      </c>
      <c r="D50" s="2" t="inlineStr">
        <is>
          <t>winrevair</t>
        </is>
      </c>
      <c r="E50" s="2" t="inlineStr">
        <is>
          <t>WINREVAIR is contraindicated in patients with serious hypersensitivity (i.e., anaphylaxis, angioedema) to sotatercept-csrk or any of its excipients [see Warnings and Precautions (5.1) ].</t>
        </is>
      </c>
      <c r="F50" s="2" t="b">
        <v>1</v>
      </c>
      <c r="G50" s="2" t="inlineStr">
        <is>
          <t>winrevair-v13:4-hypersensitivity:p1</t>
        </is>
      </c>
    </row>
    <row r="51">
      <c r="A51" s="2" t="inlineStr">
        <is>
          <t>PE-09-2</t>
        </is>
      </c>
      <c r="B51" s="2" t="inlineStr">
        <is>
          <t>F09</t>
        </is>
      </c>
      <c r="C51" s="2" t="inlineStr">
        <is>
          <t>holdout</t>
        </is>
      </c>
      <c r="D51" s="2" t="inlineStr">
        <is>
          <t>winrevair</t>
        </is>
      </c>
      <c r="E51" s="2" t="inlineStr">
        <is>
          <t>WINREVAIR is contraindicated in patients with serious hypersensitivity to sotatercept-csrk or its excipients.</t>
        </is>
      </c>
      <c r="F51" s="2" t="b">
        <v>1</v>
      </c>
      <c r="G51" s="2" t="inlineStr">
        <is>
          <t>winrevair-v13:4-hypersensitivity:p1</t>
        </is>
      </c>
    </row>
    <row r="52">
      <c r="A52" s="2" t="inlineStr">
        <is>
          <t>PE-09-3</t>
        </is>
      </c>
      <c r="B52" s="2" t="inlineStr">
        <is>
          <t>F09</t>
        </is>
      </c>
      <c r="C52" s="2" t="inlineStr">
        <is>
          <t>holdout</t>
        </is>
      </c>
      <c r="D52" s="2" t="inlineStr">
        <is>
          <t>winrevair</t>
        </is>
      </c>
      <c r="E52" s="2" t="inlineStr">
        <is>
          <t>WINREVAIR has no contraindications.</t>
        </is>
      </c>
      <c r="F52" s="2" t="b">
        <v>0</v>
      </c>
      <c r="G52" s="2" t="inlineStr">
        <is>
          <t>winrevair-v13:4-hypersensitivity:p1</t>
        </is>
      </c>
    </row>
    <row r="53">
      <c r="A53" s="2" t="inlineStr">
        <is>
          <t>PE-09-4</t>
        </is>
      </c>
      <c r="B53" s="2" t="inlineStr">
        <is>
          <t>F09</t>
        </is>
      </c>
      <c r="C53" s="2" t="inlineStr">
        <is>
          <t>holdout</t>
        </is>
      </c>
      <c r="D53" s="2" t="inlineStr">
        <is>
          <t>winrevair</t>
        </is>
      </c>
      <c r="E53" s="2" t="inlineStr">
        <is>
          <t>WINREVAIR is recommended for patients with anaphylaxis to sotatercept-csrk.</t>
        </is>
      </c>
      <c r="F53" s="2" t="b">
        <v>0</v>
      </c>
      <c r="G53" s="2" t="inlineStr">
        <is>
          <t>winrevair-v13:4-hypersensitivity:p1</t>
        </is>
      </c>
    </row>
    <row r="54">
      <c r="A54" s="2" t="inlineStr">
        <is>
          <t>PE-09-5</t>
        </is>
      </c>
      <c r="B54" s="2" t="inlineStr">
        <is>
          <t>F09</t>
        </is>
      </c>
      <c r="C54" s="2" t="inlineStr">
        <is>
          <t>holdout</t>
        </is>
      </c>
      <c r="D54" s="2" t="inlineStr">
        <is>
          <t>winrevair</t>
        </is>
      </c>
      <c r="E54" s="2" t="inlineStr">
        <is>
          <t>WINREVAIR is contraindicated in patients with serious hypersensitivity (i.e., anaphylaxis, angioedema) to sotatercept-csrk or any of its excipients [see Warnings and Precautions (5.1) ] and is superior to all alternative medicines.</t>
        </is>
      </c>
      <c r="F54" s="2" t="b">
        <v>0</v>
      </c>
      <c r="G54" s="2" t="inlineStr">
        <is>
          <t>winrevair-v13:4-hypersensitivity:p1</t>
        </is>
      </c>
    </row>
    <row r="55">
      <c r="A55" s="2" t="inlineStr">
        <is>
          <t>PE-09-6</t>
        </is>
      </c>
      <c r="B55" s="2" t="inlineStr">
        <is>
          <t>F09</t>
        </is>
      </c>
      <c r="C55" s="2" t="inlineStr">
        <is>
          <t>holdout</t>
        </is>
      </c>
      <c r="D55" s="2" t="inlineStr">
        <is>
          <t>winrevair</t>
        </is>
      </c>
      <c r="E55" s="2" t="inlineStr">
        <is>
          <t>WINREVAIR is contraindicated in patients with serious hypersensitivity (i.e., anaphylaxis, angioedema) to sotatercept-csrk or any of its excipients [see Warnings and Precautions (5.1) ] and guarantees a complete cure without any adverse reactions.</t>
        </is>
      </c>
      <c r="F55" s="2" t="b">
        <v>0</v>
      </c>
      <c r="G55" s="2" t="inlineStr">
        <is>
          <t>winrevair-v13:4-hypersensitivity:p1</t>
        </is>
      </c>
    </row>
    <row r="56">
      <c r="A56" s="2" t="inlineStr">
        <is>
          <t>PE-10-1</t>
        </is>
      </c>
      <c r="B56" s="2" t="inlineStr">
        <is>
          <t>F10</t>
        </is>
      </c>
      <c r="C56" s="2" t="inlineStr">
        <is>
          <t>development</t>
        </is>
      </c>
      <c r="D56" s="2" t="inlineStr">
        <is>
          <t>keytruda</t>
        </is>
      </c>
      <c r="E56" s="2" t="inlineStr">
        <is>
          <t>KEYTRUDA is indicated for the treatment of adult and pediatric patients with recurrent locally advanced or metastatic Merkel cell carcinoma (MCC).</t>
        </is>
      </c>
      <c r="F56" s="2" t="b">
        <v>1</v>
      </c>
      <c r="G56" s="2" t="inlineStr">
        <is>
          <t>keytruda-v228:1-merkelcellcarcinoma:p1</t>
        </is>
      </c>
    </row>
    <row r="57">
      <c r="A57" s="2" t="inlineStr">
        <is>
          <t>PE-10-2</t>
        </is>
      </c>
      <c r="B57" s="2" t="inlineStr">
        <is>
          <t>F10</t>
        </is>
      </c>
      <c r="C57" s="2" t="inlineStr">
        <is>
          <t>development</t>
        </is>
      </c>
      <c r="D57" s="2" t="inlineStr">
        <is>
          <t>keytruda</t>
        </is>
      </c>
      <c r="E57" s="2" t="inlineStr">
        <is>
          <t>KEYTRUDA is indicated for adults and children with recurrent locally advanced or metastatic Merkel cell carcinoma.</t>
        </is>
      </c>
      <c r="F57" s="2" t="b">
        <v>1</v>
      </c>
      <c r="G57" s="2" t="inlineStr">
        <is>
          <t>keytruda-v228:1-merkelcellcarcinoma:p1</t>
        </is>
      </c>
    </row>
    <row r="58">
      <c r="A58" s="2" t="inlineStr">
        <is>
          <t>PE-10-3</t>
        </is>
      </c>
      <c r="B58" s="2" t="inlineStr">
        <is>
          <t>F10</t>
        </is>
      </c>
      <c r="C58" s="2" t="inlineStr">
        <is>
          <t>development</t>
        </is>
      </c>
      <c r="D58" s="2" t="inlineStr">
        <is>
          <t>keytruda</t>
        </is>
      </c>
      <c r="E58" s="2" t="inlineStr">
        <is>
          <t>KEYTRUDA is not indicated for any patients with metastatic Merkel cell carcinoma.</t>
        </is>
      </c>
      <c r="F58" s="2" t="b">
        <v>0</v>
      </c>
      <c r="G58" s="2" t="inlineStr">
        <is>
          <t>keytruda-v228:1-merkelcellcarcinoma:p1</t>
        </is>
      </c>
    </row>
    <row r="59">
      <c r="A59" s="2" t="inlineStr">
        <is>
          <t>PE-10-4</t>
        </is>
      </c>
      <c r="B59" s="2" t="inlineStr">
        <is>
          <t>F10</t>
        </is>
      </c>
      <c r="C59" s="2" t="inlineStr">
        <is>
          <t>development</t>
        </is>
      </c>
      <c r="D59" s="2" t="inlineStr">
        <is>
          <t>keytruda</t>
        </is>
      </c>
      <c r="E59" s="2" t="inlineStr">
        <is>
          <t>KEYTRUDA cures every patient with Merkel cell carcinoma.</t>
        </is>
      </c>
      <c r="F59" s="2" t="b">
        <v>0</v>
      </c>
      <c r="G59" s="2" t="inlineStr">
        <is>
          <t>keytruda-v228:1-merkelcellcarcinoma:p1</t>
        </is>
      </c>
    </row>
    <row r="60">
      <c r="A60" s="2" t="inlineStr">
        <is>
          <t>PE-10-5</t>
        </is>
      </c>
      <c r="B60" s="2" t="inlineStr">
        <is>
          <t>F10</t>
        </is>
      </c>
      <c r="C60" s="2" t="inlineStr">
        <is>
          <t>development</t>
        </is>
      </c>
      <c r="D60" s="2" t="inlineStr">
        <is>
          <t>keytruda</t>
        </is>
      </c>
      <c r="E60" s="2" t="inlineStr">
        <is>
          <t>KEYTRUDA is indicated for the treatment of adult and pediatric patients with recurrent locally advanced or metastatic Merkel cell carcinoma (MCC) and is superior to all alternative medicines.</t>
        </is>
      </c>
      <c r="F60" s="2" t="b">
        <v>0</v>
      </c>
      <c r="G60" s="2" t="inlineStr">
        <is>
          <t>keytruda-v228:1-merkelcellcarcinoma:p1</t>
        </is>
      </c>
    </row>
    <row r="61">
      <c r="A61" s="2" t="inlineStr">
        <is>
          <t>PE-10-6</t>
        </is>
      </c>
      <c r="B61" s="2" t="inlineStr">
        <is>
          <t>F10</t>
        </is>
      </c>
      <c r="C61" s="2" t="inlineStr">
        <is>
          <t>development</t>
        </is>
      </c>
      <c r="D61" s="2" t="inlineStr">
        <is>
          <t>keytruda</t>
        </is>
      </c>
      <c r="E61" s="2" t="inlineStr">
        <is>
          <t>KEYTRUDA is indicated for the treatment of adult and pediatric patients with recurrent locally advanced or metastatic Merkel cell carcinoma (MCC) and guarantees a complete cure without any adverse reactions.</t>
        </is>
      </c>
      <c r="F61" s="2" t="b">
        <v>0</v>
      </c>
      <c r="G61" s="2" t="inlineStr">
        <is>
          <t>keytruda-v228:1-merkelcellcarcinoma:p1</t>
        </is>
      </c>
    </row>
    <row r="62">
      <c r="A62" s="2" t="inlineStr">
        <is>
          <t>PE-11-1</t>
        </is>
      </c>
      <c r="B62" s="2" t="inlineStr">
        <is>
          <t>F11</t>
        </is>
      </c>
      <c r="C62" s="2" t="inlineStr">
        <is>
          <t>development</t>
        </is>
      </c>
      <c r="D62" s="2" t="inlineStr">
        <is>
          <t>winrevair</t>
        </is>
      </c>
      <c r="E62" s="2" t="inlineStr">
        <is>
          <t>WINREVAIR may increase hemoglobin.</t>
        </is>
      </c>
      <c r="F62" s="2" t="b">
        <v>1</v>
      </c>
      <c r="G62" s="2" t="inlineStr">
        <is>
          <t>winrevair-v13:5-erythrocytosis:p1</t>
        </is>
      </c>
    </row>
    <row r="63">
      <c r="A63" s="2" t="inlineStr">
        <is>
          <t>PE-11-2</t>
        </is>
      </c>
      <c r="B63" s="2" t="inlineStr">
        <is>
          <t>F11</t>
        </is>
      </c>
      <c r="C63" s="2" t="inlineStr">
        <is>
          <t>development</t>
        </is>
      </c>
      <c r="D63" s="2" t="inlineStr">
        <is>
          <t>winrevair</t>
        </is>
      </c>
      <c r="E63" s="2" t="inlineStr">
        <is>
          <t>WINREVAIR can increase hemoglobin.</t>
        </is>
      </c>
      <c r="F63" s="2" t="b">
        <v>1</v>
      </c>
      <c r="G63" s="2" t="inlineStr">
        <is>
          <t>winrevair-v13:5-erythrocytosis:p1</t>
        </is>
      </c>
    </row>
    <row r="64">
      <c r="A64" s="2" t="inlineStr">
        <is>
          <t>PE-11-3</t>
        </is>
      </c>
      <c r="B64" s="2" t="inlineStr">
        <is>
          <t>F11</t>
        </is>
      </c>
      <c r="C64" s="2" t="inlineStr">
        <is>
          <t>development</t>
        </is>
      </c>
      <c r="D64" s="2" t="inlineStr">
        <is>
          <t>winrevair</t>
        </is>
      </c>
      <c r="E64" s="2" t="inlineStr">
        <is>
          <t>WINREVAIR can never increase hemoglobin.</t>
        </is>
      </c>
      <c r="F64" s="2" t="b">
        <v>0</v>
      </c>
      <c r="G64" s="2" t="inlineStr">
        <is>
          <t>winrevair-v13:5-erythrocytosis:p1</t>
        </is>
      </c>
    </row>
    <row r="65">
      <c r="A65" s="2" t="inlineStr">
        <is>
          <t>PE-11-4</t>
        </is>
      </c>
      <c r="B65" s="2" t="inlineStr">
        <is>
          <t>F11</t>
        </is>
      </c>
      <c r="C65" s="2" t="inlineStr">
        <is>
          <t>development</t>
        </is>
      </c>
      <c r="D65" s="2" t="inlineStr">
        <is>
          <t>winrevair</t>
        </is>
      </c>
      <c r="E65" s="2" t="inlineStr">
        <is>
          <t>WINREVAIR always lowers hemoglobin and eliminates thromboembolic risk.</t>
        </is>
      </c>
      <c r="F65" s="2" t="b">
        <v>0</v>
      </c>
      <c r="G65" s="2" t="inlineStr">
        <is>
          <t>winrevair-v13:5-erythrocytosis:p1</t>
        </is>
      </c>
    </row>
    <row r="66">
      <c r="A66" s="2" t="inlineStr">
        <is>
          <t>PE-11-5</t>
        </is>
      </c>
      <c r="B66" s="2" t="inlineStr">
        <is>
          <t>F11</t>
        </is>
      </c>
      <c r="C66" s="2" t="inlineStr">
        <is>
          <t>development</t>
        </is>
      </c>
      <c r="D66" s="2" t="inlineStr">
        <is>
          <t>winrevair</t>
        </is>
      </c>
      <c r="E66" s="2" t="inlineStr">
        <is>
          <t>WINREVAIR may increase hemoglobin and is superior to all alternative medicines.</t>
        </is>
      </c>
      <c r="F66" s="2" t="b">
        <v>0</v>
      </c>
      <c r="G66" s="2" t="inlineStr">
        <is>
          <t>winrevair-v13:5-erythrocytosis:p1</t>
        </is>
      </c>
    </row>
    <row r="67">
      <c r="A67" s="2" t="inlineStr">
        <is>
          <t>PE-11-6</t>
        </is>
      </c>
      <c r="B67" s="2" t="inlineStr">
        <is>
          <t>F11</t>
        </is>
      </c>
      <c r="C67" s="2" t="inlineStr">
        <is>
          <t>development</t>
        </is>
      </c>
      <c r="D67" s="2" t="inlineStr">
        <is>
          <t>winrevair</t>
        </is>
      </c>
      <c r="E67" s="2" t="inlineStr">
        <is>
          <t>WINREVAIR may increase hemoglobin and guarantees a complete cure without any adverse reactions.</t>
        </is>
      </c>
      <c r="F67" s="2" t="b">
        <v>0</v>
      </c>
      <c r="G67" s="2" t="inlineStr">
        <is>
          <t>winrevair-v13:5-erythrocytosis:p1</t>
        </is>
      </c>
    </row>
    <row r="68">
      <c r="A68" s="2" t="inlineStr">
        <is>
          <t>PE-12-1</t>
        </is>
      </c>
      <c r="B68" s="2" t="inlineStr">
        <is>
          <t>F12</t>
        </is>
      </c>
      <c r="C68" s="2" t="inlineStr">
        <is>
          <t>holdout</t>
        </is>
      </c>
      <c r="D68" s="2" t="inlineStr">
        <is>
          <t>keytruda</t>
        </is>
      </c>
      <c r="E68" s="2" t="inlineStr">
        <is>
          <t>KEYTRUDA, in combination with axitinib, is indicated for the first-line treatment of adult patients with advanced renal cell carcinoma (RCC).</t>
        </is>
      </c>
      <c r="F68" s="2" t="b">
        <v>1</v>
      </c>
      <c r="G68" s="2" t="inlineStr">
        <is>
          <t>keytruda-v228:1-renalcellcarcinoma:p1</t>
        </is>
      </c>
    </row>
    <row r="69">
      <c r="A69" s="2" t="inlineStr">
        <is>
          <t>PE-12-2</t>
        </is>
      </c>
      <c r="B69" s="2" t="inlineStr">
        <is>
          <t>F12</t>
        </is>
      </c>
      <c r="C69" s="2" t="inlineStr">
        <is>
          <t>holdout</t>
        </is>
      </c>
      <c r="D69" s="2" t="inlineStr">
        <is>
          <t>keytruda</t>
        </is>
      </c>
      <c r="E69" s="2" t="inlineStr">
        <is>
          <t>KEYTRUDA in combination with axitinib is indicated as first-line treatment for adults with advanced RCC.</t>
        </is>
      </c>
      <c r="F69" s="2" t="b">
        <v>1</v>
      </c>
      <c r="G69" s="2" t="inlineStr">
        <is>
          <t>keytruda-v228:1-renalcellcarcinoma:p1</t>
        </is>
      </c>
    </row>
    <row r="70">
      <c r="A70" s="2" t="inlineStr">
        <is>
          <t>PE-12-3</t>
        </is>
      </c>
      <c r="B70" s="2" t="inlineStr">
        <is>
          <t>F12</t>
        </is>
      </c>
      <c r="C70" s="2" t="inlineStr">
        <is>
          <t>holdout</t>
        </is>
      </c>
      <c r="D70" s="2" t="inlineStr">
        <is>
          <t>keytruda</t>
        </is>
      </c>
      <c r="E70" s="2" t="inlineStr">
        <is>
          <t>KEYTRUDA alone is indicated as first-line treatment for all children with localized renal cell carcinoma.</t>
        </is>
      </c>
      <c r="F70" s="2" t="b">
        <v>0</v>
      </c>
      <c r="G70" s="2" t="inlineStr">
        <is>
          <t>keytruda-v228:1-renalcellcarcinoma:p1</t>
        </is>
      </c>
    </row>
    <row r="71">
      <c r="A71" s="2" t="inlineStr">
        <is>
          <t>PE-12-4</t>
        </is>
      </c>
      <c r="B71" s="2" t="inlineStr">
        <is>
          <t>F12</t>
        </is>
      </c>
      <c r="C71" s="2" t="inlineStr">
        <is>
          <t>holdout</t>
        </is>
      </c>
      <c r="D71" s="2" t="inlineStr">
        <is>
          <t>keytruda</t>
        </is>
      </c>
      <c r="E71" s="2" t="inlineStr">
        <is>
          <t>KEYTRUDA in combination with axitinib guarantees a cure for advanced renal cell carcinoma.</t>
        </is>
      </c>
      <c r="F71" s="2" t="b">
        <v>0</v>
      </c>
      <c r="G71" s="2" t="inlineStr">
        <is>
          <t>keytruda-v228:1-renalcellcarcinoma:p1</t>
        </is>
      </c>
    </row>
    <row r="72">
      <c r="A72" s="2" t="inlineStr">
        <is>
          <t>PE-12-5</t>
        </is>
      </c>
      <c r="B72" s="2" t="inlineStr">
        <is>
          <t>F12</t>
        </is>
      </c>
      <c r="C72" s="2" t="inlineStr">
        <is>
          <t>holdout</t>
        </is>
      </c>
      <c r="D72" s="2" t="inlineStr">
        <is>
          <t>keytruda</t>
        </is>
      </c>
      <c r="E72" s="2" t="inlineStr">
        <is>
          <t>KEYTRUDA, in combination with axitinib, is indicated for the first-line treatment of adult patients with advanced renal cell carcinoma (RCC) and is superior to all alternative medicines.</t>
        </is>
      </c>
      <c r="F72" s="2" t="b">
        <v>0</v>
      </c>
      <c r="G72" s="2" t="inlineStr">
        <is>
          <t>keytruda-v228:1-renalcellcarcinoma:p1</t>
        </is>
      </c>
    </row>
    <row r="73">
      <c r="A73" s="2" t="inlineStr">
        <is>
          <t>PE-12-6</t>
        </is>
      </c>
      <c r="B73" s="2" t="inlineStr">
        <is>
          <t>F12</t>
        </is>
      </c>
      <c r="C73" s="2" t="inlineStr">
        <is>
          <t>holdout</t>
        </is>
      </c>
      <c r="D73" s="2" t="inlineStr">
        <is>
          <t>keytruda</t>
        </is>
      </c>
      <c r="E73" s="2" t="inlineStr">
        <is>
          <t>KEYTRUDA, in combination with axitinib, is indicated for the first-line treatment of adult patients with advanced renal cell carcinoma (RCC) and guarantees a complete cure without any adverse reactions.</t>
        </is>
      </c>
      <c r="F73" s="2" t="b">
        <v>0</v>
      </c>
      <c r="G73" s="2" t="inlineStr">
        <is>
          <t>keytruda-v228:1-renalcellcarcinoma:p1</t>
        </is>
      </c>
    </row>
    <row r="74">
      <c r="A74" s="2" t="inlineStr">
        <is>
          <t>PE-13-1</t>
        </is>
      </c>
      <c r="B74" s="2" t="inlineStr">
        <is>
          <t>F13</t>
        </is>
      </c>
      <c r="C74" s="2" t="inlineStr">
        <is>
          <t>development</t>
        </is>
      </c>
      <c r="D74" s="2" t="inlineStr">
        <is>
          <t>winrevair</t>
        </is>
      </c>
      <c r="E74" s="2" t="inlineStr">
        <is>
          <t>WINREVAIR may decrease platelet count.</t>
        </is>
      </c>
      <c r="F74" s="2" t="b">
        <v>1</v>
      </c>
      <c r="G74" s="2" t="inlineStr">
        <is>
          <t>winrevair-v13:5-severethrombocytopenia:p1</t>
        </is>
      </c>
    </row>
    <row r="75">
      <c r="A75" s="2" t="inlineStr">
        <is>
          <t>PE-13-2</t>
        </is>
      </c>
      <c r="B75" s="2" t="inlineStr">
        <is>
          <t>F13</t>
        </is>
      </c>
      <c r="C75" s="2" t="inlineStr">
        <is>
          <t>development</t>
        </is>
      </c>
      <c r="D75" s="2" t="inlineStr">
        <is>
          <t>winrevair</t>
        </is>
      </c>
      <c r="E75" s="2" t="inlineStr">
        <is>
          <t>WINREVAIR may lower platelet counts.</t>
        </is>
      </c>
      <c r="F75" s="2" t="b">
        <v>1</v>
      </c>
      <c r="G75" s="2" t="inlineStr">
        <is>
          <t>winrevair-v13:5-severethrombocytopenia:p1</t>
        </is>
      </c>
    </row>
    <row r="76">
      <c r="A76" s="2" t="inlineStr">
        <is>
          <t>PE-13-3</t>
        </is>
      </c>
      <c r="B76" s="2" t="inlineStr">
        <is>
          <t>F13</t>
        </is>
      </c>
      <c r="C76" s="2" t="inlineStr">
        <is>
          <t>development</t>
        </is>
      </c>
      <c r="D76" s="2" t="inlineStr">
        <is>
          <t>winrevair</t>
        </is>
      </c>
      <c r="E76" s="2" t="inlineStr">
        <is>
          <t>WINREVAIR never decreases platelet count.</t>
        </is>
      </c>
      <c r="F76" s="2" t="b">
        <v>0</v>
      </c>
      <c r="G76" s="2" t="inlineStr">
        <is>
          <t>winrevair-v13:5-severethrombocytopenia:p1</t>
        </is>
      </c>
    </row>
    <row r="77">
      <c r="A77" s="2" t="inlineStr">
        <is>
          <t>PE-13-4</t>
        </is>
      </c>
      <c r="B77" s="2" t="inlineStr">
        <is>
          <t>F13</t>
        </is>
      </c>
      <c r="C77" s="2" t="inlineStr">
        <is>
          <t>development</t>
        </is>
      </c>
      <c r="D77" s="2" t="inlineStr">
        <is>
          <t>winrevair</t>
        </is>
      </c>
      <c r="E77" s="2" t="inlineStr">
        <is>
          <t>WINREVAIR always increases platelet counts and prevents bleeding.</t>
        </is>
      </c>
      <c r="F77" s="2" t="b">
        <v>0</v>
      </c>
      <c r="G77" s="2" t="inlineStr">
        <is>
          <t>winrevair-v13:5-severethrombocytopenia:p1</t>
        </is>
      </c>
    </row>
    <row r="78">
      <c r="A78" s="2" t="inlineStr">
        <is>
          <t>PE-13-5</t>
        </is>
      </c>
      <c r="B78" s="2" t="inlineStr">
        <is>
          <t>F13</t>
        </is>
      </c>
      <c r="C78" s="2" t="inlineStr">
        <is>
          <t>development</t>
        </is>
      </c>
      <c r="D78" s="2" t="inlineStr">
        <is>
          <t>winrevair</t>
        </is>
      </c>
      <c r="E78" s="2" t="inlineStr">
        <is>
          <t>WINREVAIR may decrease platelet count and is superior to all alternative medicines.</t>
        </is>
      </c>
      <c r="F78" s="2" t="b">
        <v>0</v>
      </c>
      <c r="G78" s="2" t="inlineStr">
        <is>
          <t>winrevair-v13:5-severethrombocytopenia:p1</t>
        </is>
      </c>
    </row>
    <row r="79">
      <c r="A79" s="2" t="inlineStr">
        <is>
          <t>PE-13-6</t>
        </is>
      </c>
      <c r="B79" s="2" t="inlineStr">
        <is>
          <t>F13</t>
        </is>
      </c>
      <c r="C79" s="2" t="inlineStr">
        <is>
          <t>development</t>
        </is>
      </c>
      <c r="D79" s="2" t="inlineStr">
        <is>
          <t>winrevair</t>
        </is>
      </c>
      <c r="E79" s="2" t="inlineStr">
        <is>
          <t>WINREVAIR may decrease platelet count and guarantees a complete cure without any adverse reactions.</t>
        </is>
      </c>
      <c r="F79" s="2" t="b">
        <v>0</v>
      </c>
      <c r="G79" s="2" t="inlineStr">
        <is>
          <t>winrevair-v13:5-severethrombocytopenia:p1</t>
        </is>
      </c>
    </row>
    <row r="80">
      <c r="A80" s="2" t="inlineStr">
        <is>
          <t>PE-14-1</t>
        </is>
      </c>
      <c r="B80" s="2" t="inlineStr">
        <is>
          <t>F14</t>
        </is>
      </c>
      <c r="C80" s="2" t="inlineStr">
        <is>
          <t>holdout</t>
        </is>
      </c>
      <c r="D80" s="2" t="inlineStr">
        <is>
          <t>keytruda</t>
        </is>
      </c>
      <c r="E80" s="2" t="inlineStr">
        <is>
          <t>KEYTRUDA, in combination with carboplatin and paclitaxel, followed by KEYTRUDA as a single agent, is indicated for the treatment of adult patients with primary advanced or recurrent endometrial carcinoma.</t>
        </is>
      </c>
      <c r="F80" s="2" t="b">
        <v>1</v>
      </c>
      <c r="G80" s="2" t="inlineStr">
        <is>
          <t>keytruda-v228:1-endometrialcarcinoma:p1</t>
        </is>
      </c>
    </row>
    <row r="81">
      <c r="A81" s="2" t="inlineStr">
        <is>
          <t>PE-14-2</t>
        </is>
      </c>
      <c r="B81" s="2" t="inlineStr">
        <is>
          <t>F14</t>
        </is>
      </c>
      <c r="C81" s="2" t="inlineStr">
        <is>
          <t>holdout</t>
        </is>
      </c>
      <c r="D81" s="2" t="inlineStr">
        <is>
          <t>keytruda</t>
        </is>
      </c>
      <c r="E81" s="2" t="inlineStr">
        <is>
          <t>KEYTRUDA with carboplatin and paclitaxel, followed by single-agent KEYTRUDA, is indicated for adults with primary advanced or recurrent endometrial carcinoma.</t>
        </is>
      </c>
      <c r="F81" s="2" t="b">
        <v>1</v>
      </c>
      <c r="G81" s="2" t="inlineStr">
        <is>
          <t>keytruda-v228:1-endometrialcarcinoma:p1</t>
        </is>
      </c>
    </row>
    <row r="82">
      <c r="A82" s="2" t="inlineStr">
        <is>
          <t>PE-14-3</t>
        </is>
      </c>
      <c r="B82" s="2" t="inlineStr">
        <is>
          <t>F14</t>
        </is>
      </c>
      <c r="C82" s="2" t="inlineStr">
        <is>
          <t>holdout</t>
        </is>
      </c>
      <c r="D82" s="2" t="inlineStr">
        <is>
          <t>keytruda</t>
        </is>
      </c>
      <c r="E82" s="2" t="inlineStr">
        <is>
          <t>KEYTRUDA alone is indicated for all children with early localized endometrial carcinoma.</t>
        </is>
      </c>
      <c r="F82" s="2" t="b">
        <v>0</v>
      </c>
      <c r="G82" s="2" t="inlineStr">
        <is>
          <t>keytruda-v228:1-endometrialcarcinoma:p1</t>
        </is>
      </c>
    </row>
    <row r="83">
      <c r="A83" s="2" t="inlineStr">
        <is>
          <t>PE-14-4</t>
        </is>
      </c>
      <c r="B83" s="2" t="inlineStr">
        <is>
          <t>F14</t>
        </is>
      </c>
      <c r="C83" s="2" t="inlineStr">
        <is>
          <t>holdout</t>
        </is>
      </c>
      <c r="D83" s="2" t="inlineStr">
        <is>
          <t>keytruda</t>
        </is>
      </c>
      <c r="E83" s="2" t="inlineStr">
        <is>
          <t>KEYTRUDA with carboplatin and paclitaxel is guaranteed to cure recurrent endometrial carcinoma.</t>
        </is>
      </c>
      <c r="F83" s="2" t="b">
        <v>0</v>
      </c>
      <c r="G83" s="2" t="inlineStr">
        <is>
          <t>keytruda-v228:1-endometrialcarcinoma:p1</t>
        </is>
      </c>
    </row>
    <row r="84">
      <c r="A84" s="2" t="inlineStr">
        <is>
          <t>PE-14-5</t>
        </is>
      </c>
      <c r="B84" s="2" t="inlineStr">
        <is>
          <t>F14</t>
        </is>
      </c>
      <c r="C84" s="2" t="inlineStr">
        <is>
          <t>holdout</t>
        </is>
      </c>
      <c r="D84" s="2" t="inlineStr">
        <is>
          <t>keytruda</t>
        </is>
      </c>
      <c r="E84" s="2" t="inlineStr">
        <is>
          <t>KEYTRUDA, in combination with carboplatin and paclitaxel, followed by KEYTRUDA as a single agent, is indicated for the treatment of adult patients with primary advanced or recurrent endometrial carcinoma and is superior to all alternative medicines.</t>
        </is>
      </c>
      <c r="F84" s="2" t="b">
        <v>0</v>
      </c>
      <c r="G84" s="2" t="inlineStr">
        <is>
          <t>keytruda-v228:1-endometrialcarcinoma:p1</t>
        </is>
      </c>
    </row>
    <row r="85">
      <c r="A85" s="2" t="inlineStr">
        <is>
          <t>PE-14-6</t>
        </is>
      </c>
      <c r="B85" s="2" t="inlineStr">
        <is>
          <t>F14</t>
        </is>
      </c>
      <c r="C85" s="2" t="inlineStr">
        <is>
          <t>holdout</t>
        </is>
      </c>
      <c r="D85" s="2" t="inlineStr">
        <is>
          <t>keytruda</t>
        </is>
      </c>
      <c r="E85" s="2" t="inlineStr">
        <is>
          <t>KEYTRUDA, in combination with carboplatin and paclitaxel, followed by KEYTRUDA as a single agent, is indicated for the treatment of adult patients with primary advanced or recurrent endometrial carcinoma and guarantees a complete cure without any adverse reactions.</t>
        </is>
      </c>
      <c r="F85" s="2" t="b">
        <v>0</v>
      </c>
      <c r="G85" s="2" t="inlineStr">
        <is>
          <t>keytruda-v228:1-endometrialcarcinoma:p1</t>
        </is>
      </c>
    </row>
    <row r="86">
      <c r="A86" s="2" t="inlineStr">
        <is>
          <t>PE-15-1</t>
        </is>
      </c>
      <c r="B86" s="2" t="inlineStr">
        <is>
          <t>F15</t>
        </is>
      </c>
      <c r="C86" s="2" t="inlineStr">
        <is>
          <t>development</t>
        </is>
      </c>
      <c r="D86" s="2" t="inlineStr">
        <is>
          <t>winrevair</t>
        </is>
      </c>
      <c r="E86" s="2" t="inlineStr">
        <is>
          <t>WINREVAIR increases the risk of bleeding.</t>
        </is>
      </c>
      <c r="F86" s="2" t="b">
        <v>1</v>
      </c>
      <c r="G86" s="2" t="inlineStr">
        <is>
          <t>winrevair-v13:5-seriousbleeding:p1</t>
        </is>
      </c>
    </row>
    <row r="87">
      <c r="A87" s="2" t="inlineStr">
        <is>
          <t>PE-15-2</t>
        </is>
      </c>
      <c r="B87" s="2" t="inlineStr">
        <is>
          <t>F15</t>
        </is>
      </c>
      <c r="C87" s="2" t="inlineStr">
        <is>
          <t>development</t>
        </is>
      </c>
      <c r="D87" s="2" t="inlineStr">
        <is>
          <t>winrevair</t>
        </is>
      </c>
      <c r="E87" s="2" t="inlineStr">
        <is>
          <t>WINREVAIR increases bleeding risk.</t>
        </is>
      </c>
      <c r="F87" s="2" t="b">
        <v>1</v>
      </c>
      <c r="G87" s="2" t="inlineStr">
        <is>
          <t>winrevair-v13:5-seriousbleeding:p1</t>
        </is>
      </c>
    </row>
    <row r="88">
      <c r="A88" s="2" t="inlineStr">
        <is>
          <t>PE-15-3</t>
        </is>
      </c>
      <c r="B88" s="2" t="inlineStr">
        <is>
          <t>F15</t>
        </is>
      </c>
      <c r="C88" s="2" t="inlineStr">
        <is>
          <t>development</t>
        </is>
      </c>
      <c r="D88" s="2" t="inlineStr">
        <is>
          <t>winrevair</t>
        </is>
      </c>
      <c r="E88" s="2" t="inlineStr">
        <is>
          <t>WINREVAIR does not increase the risk of bleeding.</t>
        </is>
      </c>
      <c r="F88" s="2" t="b">
        <v>0</v>
      </c>
      <c r="G88" s="2" t="inlineStr">
        <is>
          <t>winrevair-v13:5-seriousbleeding:p1</t>
        </is>
      </c>
    </row>
    <row r="89">
      <c r="A89" s="2" t="inlineStr">
        <is>
          <t>PE-15-4</t>
        </is>
      </c>
      <c r="B89" s="2" t="inlineStr">
        <is>
          <t>F15</t>
        </is>
      </c>
      <c r="C89" s="2" t="inlineStr">
        <is>
          <t>development</t>
        </is>
      </c>
      <c r="D89" s="2" t="inlineStr">
        <is>
          <t>winrevair</t>
        </is>
      </c>
      <c r="E89" s="2" t="inlineStr">
        <is>
          <t>WINREVAIR eliminates bleeding risk in all patients.</t>
        </is>
      </c>
      <c r="F89" s="2" t="b">
        <v>0</v>
      </c>
      <c r="G89" s="2" t="inlineStr">
        <is>
          <t>winrevair-v13:5-seriousbleeding:p1</t>
        </is>
      </c>
    </row>
    <row r="90">
      <c r="A90" s="2" t="inlineStr">
        <is>
          <t>PE-15-5</t>
        </is>
      </c>
      <c r="B90" s="2" t="inlineStr">
        <is>
          <t>F15</t>
        </is>
      </c>
      <c r="C90" s="2" t="inlineStr">
        <is>
          <t>development</t>
        </is>
      </c>
      <c r="D90" s="2" t="inlineStr">
        <is>
          <t>winrevair</t>
        </is>
      </c>
      <c r="E90" s="2" t="inlineStr">
        <is>
          <t>WINREVAIR increases the risk of bleeding and is superior to all alternative medicines.</t>
        </is>
      </c>
      <c r="F90" s="2" t="b">
        <v>0</v>
      </c>
      <c r="G90" s="2" t="inlineStr">
        <is>
          <t>winrevair-v13:5-seriousbleeding:p1</t>
        </is>
      </c>
    </row>
    <row r="91">
      <c r="A91" s="2" t="inlineStr">
        <is>
          <t>PE-15-6</t>
        </is>
      </c>
      <c r="B91" s="2" t="inlineStr">
        <is>
          <t>F15</t>
        </is>
      </c>
      <c r="C91" s="2" t="inlineStr">
        <is>
          <t>development</t>
        </is>
      </c>
      <c r="D91" s="2" t="inlineStr">
        <is>
          <t>winrevair</t>
        </is>
      </c>
      <c r="E91" s="2" t="inlineStr">
        <is>
          <t>WINREVAIR increases the risk of bleeding and guarantees a complete cure without any adverse reactions.</t>
        </is>
      </c>
      <c r="F91" s="2" t="b">
        <v>0</v>
      </c>
      <c r="G91" s="2" t="inlineStr">
        <is>
          <t>winrevair-v13:5-seriousbleeding:p1</t>
        </is>
      </c>
    </row>
    <row r="92">
      <c r="A92" s="2" t="inlineStr">
        <is>
          <t>PE-16-1</t>
        </is>
      </c>
      <c r="B92" s="2" t="inlineStr">
        <is>
          <t>F16</t>
        </is>
      </c>
      <c r="C92" s="2" t="inlineStr">
        <is>
          <t>development</t>
        </is>
      </c>
      <c r="D92" s="2" t="inlineStr">
        <is>
          <t>keytruda</t>
        </is>
      </c>
      <c r="E92" s="2" t="inlineStr">
        <is>
          <t>KEYTRUDA is indicated for the treatment of patients with high-risk early-stage triple-negative breast cancer (TNBC) in combination with chemotherapy as neoadjuvant treatment, and then continued as a single agent as adjuvant treatment after surgery.</t>
        </is>
      </c>
      <c r="F92" s="2" t="b">
        <v>1</v>
      </c>
      <c r="G92" s="2" t="inlineStr">
        <is>
          <t>keytruda-v228:1-triplenegativebreastcancer:p1</t>
        </is>
      </c>
    </row>
    <row r="93">
      <c r="A93" s="2" t="inlineStr">
        <is>
          <t>PE-16-2</t>
        </is>
      </c>
      <c r="B93" s="2" t="inlineStr">
        <is>
          <t>F16</t>
        </is>
      </c>
      <c r="C93" s="2" t="inlineStr">
        <is>
          <t>development</t>
        </is>
      </c>
      <c r="D93" s="2" t="inlineStr">
        <is>
          <t>keytruda</t>
        </is>
      </c>
      <c r="E93" s="2" t="inlineStr">
        <is>
          <t>KEYTRUDA with chemotherapy is indicated before surgery for high-risk early-stage TNBC, then continued alone as adjuvant therapy after surgery.</t>
        </is>
      </c>
      <c r="F93" s="2" t="b">
        <v>1</v>
      </c>
      <c r="G93" s="2" t="inlineStr">
        <is>
          <t>keytruda-v228:1-triplenegativebreastcancer:p1</t>
        </is>
      </c>
    </row>
    <row r="94">
      <c r="A94" s="2" t="inlineStr">
        <is>
          <t>PE-16-3</t>
        </is>
      </c>
      <c r="B94" s="2" t="inlineStr">
        <is>
          <t>F16</t>
        </is>
      </c>
      <c r="C94" s="2" t="inlineStr">
        <is>
          <t>development</t>
        </is>
      </c>
      <c r="D94" s="2" t="inlineStr">
        <is>
          <t>keytruda</t>
        </is>
      </c>
      <c r="E94" s="2" t="inlineStr">
        <is>
          <t>KEYTRUDA is indicated for all breast cancer types without chemotherapy or surgery.</t>
        </is>
      </c>
      <c r="F94" s="2" t="b">
        <v>0</v>
      </c>
      <c r="G94" s="2" t="inlineStr">
        <is>
          <t>keytruda-v228:1-triplenegativebreastcancer:p1</t>
        </is>
      </c>
    </row>
    <row r="95">
      <c r="A95" s="2" t="inlineStr">
        <is>
          <t>PE-16-4</t>
        </is>
      </c>
      <c r="B95" s="2" t="inlineStr">
        <is>
          <t>F16</t>
        </is>
      </c>
      <c r="C95" s="2" t="inlineStr">
        <is>
          <t>development</t>
        </is>
      </c>
      <c r="D95" s="2" t="inlineStr">
        <is>
          <t>keytruda</t>
        </is>
      </c>
      <c r="E95" s="2" t="inlineStr">
        <is>
          <t>KEYTRUDA alone cures all low-risk hormone-receptor-positive breast cancers.</t>
        </is>
      </c>
      <c r="F95" s="2" t="b">
        <v>0</v>
      </c>
      <c r="G95" s="2" t="inlineStr">
        <is>
          <t>keytruda-v228:1-triplenegativebreastcancer:p1</t>
        </is>
      </c>
    </row>
    <row r="96">
      <c r="A96" s="2" t="inlineStr">
        <is>
          <t>PE-16-5</t>
        </is>
      </c>
      <c r="B96" s="2" t="inlineStr">
        <is>
          <t>F16</t>
        </is>
      </c>
      <c r="C96" s="2" t="inlineStr">
        <is>
          <t>development</t>
        </is>
      </c>
      <c r="D96" s="2" t="inlineStr">
        <is>
          <t>keytruda</t>
        </is>
      </c>
      <c r="E96" s="2" t="inlineStr">
        <is>
          <t>KEYTRUDA is indicated for the treatment of patients with high-risk early-stage triple-negative breast cancer (TNBC) in combination with chemotherapy as neoadjuvant treatment, and then continued as a single agent as adjuvant treatment after surgery and is superior to all alternative medicines.</t>
        </is>
      </c>
      <c r="F96" s="2" t="b">
        <v>0</v>
      </c>
      <c r="G96" s="2" t="inlineStr">
        <is>
          <t>keytruda-v228:1-triplenegativebreastcancer:p1</t>
        </is>
      </c>
    </row>
    <row r="97">
      <c r="A97" s="2" t="inlineStr">
        <is>
          <t>PE-16-6</t>
        </is>
      </c>
      <c r="B97" s="2" t="inlineStr">
        <is>
          <t>F16</t>
        </is>
      </c>
      <c r="C97" s="2" t="inlineStr">
        <is>
          <t>development</t>
        </is>
      </c>
      <c r="D97" s="2" t="inlineStr">
        <is>
          <t>keytruda</t>
        </is>
      </c>
      <c r="E97" s="2" t="inlineStr">
        <is>
          <t>KEYTRUDA is indicated for the treatment of patients with high-risk early-stage triple-negative breast cancer (TNBC) in combination with chemotherapy as neoadjuvant treatment, and then continued as a single agent as adjuvant treatment after surgery and guarantees a complete cure without any adverse reactions.</t>
        </is>
      </c>
      <c r="F97" s="2" t="b">
        <v>0</v>
      </c>
      <c r="G97" s="2" t="inlineStr">
        <is>
          <t>keytruda-v228:1-triplenegativebreastcancer:p1</t>
        </is>
      </c>
    </row>
    <row r="98">
      <c r="A98" s="2" t="inlineStr">
        <is>
          <t>PE-17-1</t>
        </is>
      </c>
      <c r="B98" s="2" t="inlineStr">
        <is>
          <t>F17</t>
        </is>
      </c>
      <c r="C98" s="2" t="inlineStr">
        <is>
          <t>holdout</t>
        </is>
      </c>
      <c r="D98" s="2" t="inlineStr">
        <is>
          <t>winrevair</t>
        </is>
      </c>
      <c r="E98" s="2" t="inlineStr">
        <is>
          <t>The safety and effectiveness of WINREVAIR have not been established in patients less than 18 years of age.</t>
        </is>
      </c>
      <c r="F98" s="2" t="b">
        <v>1</v>
      </c>
      <c r="G98" s="2" t="inlineStr">
        <is>
          <t>winrevair-v13:8-pediatricuse:p1</t>
        </is>
      </c>
    </row>
    <row r="99">
      <c r="A99" s="2" t="inlineStr">
        <is>
          <t>PE-17-2</t>
        </is>
      </c>
      <c r="B99" s="2" t="inlineStr">
        <is>
          <t>F17</t>
        </is>
      </c>
      <c r="C99" s="2" t="inlineStr">
        <is>
          <t>holdout</t>
        </is>
      </c>
      <c r="D99" s="2" t="inlineStr">
        <is>
          <t>winrevair</t>
        </is>
      </c>
      <c r="E99" s="2" t="inlineStr">
        <is>
          <t>WINREVAIR safety and effectiveness are not established in patients younger than 18 years.</t>
        </is>
      </c>
      <c r="F99" s="2" t="b">
        <v>1</v>
      </c>
      <c r="G99" s="2" t="inlineStr">
        <is>
          <t>winrevair-v13:8-pediatricuse:p1</t>
        </is>
      </c>
    </row>
    <row r="100">
      <c r="A100" s="2" t="inlineStr">
        <is>
          <t>PE-17-3</t>
        </is>
      </c>
      <c r="B100" s="2" t="inlineStr">
        <is>
          <t>F17</t>
        </is>
      </c>
      <c r="C100" s="2" t="inlineStr">
        <is>
          <t>holdout</t>
        </is>
      </c>
      <c r="D100" s="2" t="inlineStr">
        <is>
          <t>winrevair</t>
        </is>
      </c>
      <c r="E100" s="2" t="inlineStr">
        <is>
          <t>WINREVAIR safety and effectiveness are established for all children younger than 18 years.</t>
        </is>
      </c>
      <c r="F100" s="2" t="b">
        <v>0</v>
      </c>
      <c r="G100" s="2" t="inlineStr">
        <is>
          <t>winrevair-v13:8-pediatricuse:p1</t>
        </is>
      </c>
    </row>
    <row r="101">
      <c r="A101" s="2" t="inlineStr">
        <is>
          <t>PE-17-4</t>
        </is>
      </c>
      <c r="B101" s="2" t="inlineStr">
        <is>
          <t>F17</t>
        </is>
      </c>
      <c r="C101" s="2" t="inlineStr">
        <is>
          <t>holdout</t>
        </is>
      </c>
      <c r="D101" s="2" t="inlineStr">
        <is>
          <t>winrevair</t>
        </is>
      </c>
      <c r="E101" s="2" t="inlineStr">
        <is>
          <t>WINREVAIR is proven safe and effective in newborn infants.</t>
        </is>
      </c>
      <c r="F101" s="2" t="b">
        <v>0</v>
      </c>
      <c r="G101" s="2" t="inlineStr">
        <is>
          <t>winrevair-v13:8-pediatricuse:p1</t>
        </is>
      </c>
    </row>
    <row r="102">
      <c r="A102" s="2" t="inlineStr">
        <is>
          <t>PE-17-5</t>
        </is>
      </c>
      <c r="B102" s="2" t="inlineStr">
        <is>
          <t>F17</t>
        </is>
      </c>
      <c r="C102" s="2" t="inlineStr">
        <is>
          <t>holdout</t>
        </is>
      </c>
      <c r="D102" s="2" t="inlineStr">
        <is>
          <t>winrevair</t>
        </is>
      </c>
      <c r="E102" s="2" t="inlineStr">
        <is>
          <t>The safety and effectiveness of WINREVAIR have not been established in patients less than 18 years of age and is superior to all alternative medicines.</t>
        </is>
      </c>
      <c r="F102" s="2" t="b">
        <v>0</v>
      </c>
      <c r="G102" s="2" t="inlineStr">
        <is>
          <t>winrevair-v13:8-pediatricuse:p1</t>
        </is>
      </c>
    </row>
    <row r="103">
      <c r="A103" s="2" t="inlineStr">
        <is>
          <t>PE-17-6</t>
        </is>
      </c>
      <c r="B103" s="2" t="inlineStr">
        <is>
          <t>F17</t>
        </is>
      </c>
      <c r="C103" s="2" t="inlineStr">
        <is>
          <t>holdout</t>
        </is>
      </c>
      <c r="D103" s="2" t="inlineStr">
        <is>
          <t>winrevair</t>
        </is>
      </c>
      <c r="E103" s="2" t="inlineStr">
        <is>
          <t>The safety and effectiveness of WINREVAIR have not been established in patients less than 18 years of age and guarantees a complete cure without any adverse reactions.</t>
        </is>
      </c>
      <c r="F103" s="2" t="b">
        <v>0</v>
      </c>
      <c r="G103" s="2" t="inlineStr">
        <is>
          <t>winrevair-v13:8-pediatricuse:p1</t>
        </is>
      </c>
    </row>
    <row r="104">
      <c r="A104" s="2" t="inlineStr">
        <is>
          <t>PE-18-1</t>
        </is>
      </c>
      <c r="B104" s="2" t="inlineStr">
        <is>
          <t>F18</t>
        </is>
      </c>
      <c r="C104" s="2" t="inlineStr">
        <is>
          <t>development</t>
        </is>
      </c>
      <c r="D104" s="2" t="inlineStr">
        <is>
          <t>keytruda</t>
        </is>
      </c>
      <c r="E104" s="2" t="inlineStr">
        <is>
          <t>KEYTRUDA is a monoclonal antibody that belongs to a class of drugs that bind to either the programmed death-receptor 1 (PD-1) or the PD-ligand 1 (PD-L1), blocking the PD-1/PD-L1 pathway, thereby removing inhibition of the immune response, potentially breaking peripheral tolerance and inducing immune-mediated adverse reactions.</t>
        </is>
      </c>
      <c r="F104" s="2" t="b">
        <v>1</v>
      </c>
      <c r="G104" s="2" t="inlineStr">
        <is>
          <t>keytruda-v228:5-severeandfatalimmunemediatedadversereactions:p1</t>
        </is>
      </c>
    </row>
    <row r="105">
      <c r="A105" s="2" t="inlineStr">
        <is>
          <t>PE-18-2</t>
        </is>
      </c>
      <c r="B105" s="2" t="inlineStr">
        <is>
          <t>F18</t>
        </is>
      </c>
      <c r="C105" s="2" t="inlineStr">
        <is>
          <t>development</t>
        </is>
      </c>
      <c r="D105" s="2" t="inlineStr">
        <is>
          <t>keytruda</t>
        </is>
      </c>
      <c r="E105" s="2" t="inlineStr">
        <is>
          <t>KEYTRUDA binds to PD-1 or PD-L1 pathways as described for its drug class and may induce immune-mediated adverse reactions.</t>
        </is>
      </c>
      <c r="F105" s="2" t="b">
        <v>1</v>
      </c>
      <c r="G105" s="2" t="inlineStr">
        <is>
          <t>keytruda-v228:5-severeandfatalimmunemediatedadversereactions:p1</t>
        </is>
      </c>
    </row>
    <row r="106">
      <c r="A106" s="2" t="inlineStr">
        <is>
          <t>PE-18-3</t>
        </is>
      </c>
      <c r="B106" s="2" t="inlineStr">
        <is>
          <t>F18</t>
        </is>
      </c>
      <c r="C106" s="2" t="inlineStr">
        <is>
          <t>development</t>
        </is>
      </c>
      <c r="D106" s="2" t="inlineStr">
        <is>
          <t>keytruda</t>
        </is>
      </c>
      <c r="E106" s="2" t="inlineStr">
        <is>
          <t>KEYTRUDA has zero risk of immune-mediated adverse reactions.</t>
        </is>
      </c>
      <c r="F106" s="2" t="b">
        <v>0</v>
      </c>
      <c r="G106" s="2" t="inlineStr">
        <is>
          <t>keytruda-v228:5-severeandfatalimmunemediatedadversereactions:p1</t>
        </is>
      </c>
    </row>
    <row r="107">
      <c r="A107" s="2" t="inlineStr">
        <is>
          <t>PE-18-4</t>
        </is>
      </c>
      <c r="B107" s="2" t="inlineStr">
        <is>
          <t>F18</t>
        </is>
      </c>
      <c r="C107" s="2" t="inlineStr">
        <is>
          <t>development</t>
        </is>
      </c>
      <c r="D107" s="2" t="inlineStr">
        <is>
          <t>keytruda</t>
        </is>
      </c>
      <c r="E107" s="2" t="inlineStr">
        <is>
          <t>KEYTRUDA never affects the PD-1 or PD-L1 pathway.</t>
        </is>
      </c>
      <c r="F107" s="2" t="b">
        <v>0</v>
      </c>
      <c r="G107" s="2" t="inlineStr">
        <is>
          <t>keytruda-v228:5-severeandfatalimmunemediatedadversereactions:p1</t>
        </is>
      </c>
    </row>
    <row r="108">
      <c r="A108" s="2" t="inlineStr">
        <is>
          <t>PE-18-5</t>
        </is>
      </c>
      <c r="B108" s="2" t="inlineStr">
        <is>
          <t>F18</t>
        </is>
      </c>
      <c r="C108" s="2" t="inlineStr">
        <is>
          <t>development</t>
        </is>
      </c>
      <c r="D108" s="2" t="inlineStr">
        <is>
          <t>keytruda</t>
        </is>
      </c>
      <c r="E108" s="2" t="inlineStr">
        <is>
          <t>KEYTRUDA is a monoclonal antibody that belongs to a class of drugs that bind to either the programmed death-receptor 1 (PD-1) or the PD-ligand 1 (PD-L1), blocking the PD-1/PD-L1 pathway, thereby removing inhibition of the immune response, potentially breaking peripheral tolerance and inducing immune-mediated adverse reactions and is superior to all alternative medicines.</t>
        </is>
      </c>
      <c r="F108" s="2" t="b">
        <v>0</v>
      </c>
      <c r="G108" s="2" t="inlineStr">
        <is>
          <t>keytruda-v228:5-severeandfatalimmunemediatedadversereactions:p1</t>
        </is>
      </c>
    </row>
    <row r="109">
      <c r="A109" s="2" t="inlineStr">
        <is>
          <t>PE-18-6</t>
        </is>
      </c>
      <c r="B109" s="2" t="inlineStr">
        <is>
          <t>F18</t>
        </is>
      </c>
      <c r="C109" s="2" t="inlineStr">
        <is>
          <t>development</t>
        </is>
      </c>
      <c r="D109" s="2" t="inlineStr">
        <is>
          <t>keytruda</t>
        </is>
      </c>
      <c r="E109" s="2" t="inlineStr">
        <is>
          <t>KEYTRUDA is a monoclonal antibody that belongs to a class of drugs that bind to either the programmed death-receptor 1 (PD-1) or the PD-ligand 1 (PD-L1), blocking the PD-1/PD-L1 pathway, thereby removing inhibition of the immune response, potentially breaking peripheral tolerance and inducing immune-mediated adverse reactions and guarantees a complete cure without any adverse reactions.</t>
        </is>
      </c>
      <c r="F109" s="2" t="b">
        <v>0</v>
      </c>
      <c r="G109" s="2" t="inlineStr">
        <is>
          <t>keytruda-v228:5-severeandfatalimmunemediatedadversereactions:p1</t>
        </is>
      </c>
    </row>
    <row r="110">
      <c r="A110" s="2" t="inlineStr">
        <is>
          <t>PE-19-1</t>
        </is>
      </c>
      <c r="B110" s="2" t="inlineStr">
        <is>
          <t>F19</t>
        </is>
      </c>
      <c r="C110" s="2" t="inlineStr">
        <is>
          <t>holdout</t>
        </is>
      </c>
      <c r="D110" s="2" t="inlineStr">
        <is>
          <t>winrevair</t>
        </is>
      </c>
      <c r="E110" s="2" t="inlineStr">
        <is>
          <t>Serious hypersensitivity reactions have been reported in WINREVAIR-treated patients.</t>
        </is>
      </c>
      <c r="F110" s="2" t="b">
        <v>1</v>
      </c>
      <c r="G110" s="2" t="inlineStr">
        <is>
          <t>winrevair-v13:5-hypersensitivity:p1</t>
        </is>
      </c>
    </row>
    <row r="111">
      <c r="A111" s="2" t="inlineStr">
        <is>
          <t>PE-19-2</t>
        </is>
      </c>
      <c r="B111" s="2" t="inlineStr">
        <is>
          <t>F19</t>
        </is>
      </c>
      <c r="C111" s="2" t="inlineStr">
        <is>
          <t>holdout</t>
        </is>
      </c>
      <c r="D111" s="2" t="inlineStr">
        <is>
          <t>winrevair</t>
        </is>
      </c>
      <c r="E111" s="2" t="inlineStr">
        <is>
          <t>Serious hypersensitivity reactions have been reported in patients treated with WINREVAIR.</t>
        </is>
      </c>
      <c r="F111" s="2" t="b">
        <v>1</v>
      </c>
      <c r="G111" s="2" t="inlineStr">
        <is>
          <t>winrevair-v13:5-hypersensitivity:p1</t>
        </is>
      </c>
    </row>
    <row r="112">
      <c r="A112" s="2" t="inlineStr">
        <is>
          <t>PE-19-3</t>
        </is>
      </c>
      <c r="B112" s="2" t="inlineStr">
        <is>
          <t>F19</t>
        </is>
      </c>
      <c r="C112" s="2" t="inlineStr">
        <is>
          <t>holdout</t>
        </is>
      </c>
      <c r="D112" s="2" t="inlineStr">
        <is>
          <t>winrevair</t>
        </is>
      </c>
      <c r="E112" s="2" t="inlineStr">
        <is>
          <t>Serious hypersensitivity reactions have never been reported with WINREVAIR.</t>
        </is>
      </c>
      <c r="F112" s="2" t="b">
        <v>0</v>
      </c>
      <c r="G112" s="2" t="inlineStr">
        <is>
          <t>winrevair-v13:5-hypersensitivity:p1</t>
        </is>
      </c>
    </row>
    <row r="113">
      <c r="A113" s="2" t="inlineStr">
        <is>
          <t>PE-19-4</t>
        </is>
      </c>
      <c r="B113" s="2" t="inlineStr">
        <is>
          <t>F19</t>
        </is>
      </c>
      <c r="C113" s="2" t="inlineStr">
        <is>
          <t>holdout</t>
        </is>
      </c>
      <c r="D113" s="2" t="inlineStr">
        <is>
          <t>winrevair</t>
        </is>
      </c>
      <c r="E113" s="2" t="inlineStr">
        <is>
          <t>WINREVAIR has no risk of hypersensitivity reactions.</t>
        </is>
      </c>
      <c r="F113" s="2" t="b">
        <v>0</v>
      </c>
      <c r="G113" s="2" t="inlineStr">
        <is>
          <t>winrevair-v13:5-hypersensitivity:p1</t>
        </is>
      </c>
    </row>
    <row r="114">
      <c r="A114" s="2" t="inlineStr">
        <is>
          <t>PE-19-5</t>
        </is>
      </c>
      <c r="B114" s="2" t="inlineStr">
        <is>
          <t>F19</t>
        </is>
      </c>
      <c r="C114" s="2" t="inlineStr">
        <is>
          <t>holdout</t>
        </is>
      </c>
      <c r="D114" s="2" t="inlineStr">
        <is>
          <t>winrevair</t>
        </is>
      </c>
      <c r="E114" s="2" t="inlineStr">
        <is>
          <t>Serious hypersensitivity reactions have been reported in WINREVAIR-treated patients and is superior to all alternative medicines.</t>
        </is>
      </c>
      <c r="F114" s="2" t="b">
        <v>0</v>
      </c>
      <c r="G114" s="2" t="inlineStr">
        <is>
          <t>winrevair-v13:5-hypersensitivity:p1</t>
        </is>
      </c>
    </row>
    <row r="115">
      <c r="A115" s="2" t="inlineStr">
        <is>
          <t>PE-19-6</t>
        </is>
      </c>
      <c r="B115" s="2" t="inlineStr">
        <is>
          <t>F19</t>
        </is>
      </c>
      <c r="C115" s="2" t="inlineStr">
        <is>
          <t>holdout</t>
        </is>
      </c>
      <c r="D115" s="2" t="inlineStr">
        <is>
          <t>winrevair</t>
        </is>
      </c>
      <c r="E115" s="2" t="inlineStr">
        <is>
          <t>Serious hypersensitivity reactions have been reported in WINREVAIR-treated patients and guarantees a complete cure without any adverse reactions.</t>
        </is>
      </c>
      <c r="F115" s="2" t="b">
        <v>0</v>
      </c>
      <c r="G115" s="2" t="inlineStr">
        <is>
          <t>winrevair-v13:5-hypersensitivity:p1</t>
        </is>
      </c>
    </row>
    <row r="116">
      <c r="A116" s="2" t="inlineStr">
        <is>
          <t>PE-20-1</t>
        </is>
      </c>
      <c r="B116" s="2" t="inlineStr">
        <is>
          <t>F20</t>
        </is>
      </c>
      <c r="C116" s="2" t="inlineStr">
        <is>
          <t>development</t>
        </is>
      </c>
      <c r="D116" s="2" t="inlineStr">
        <is>
          <t>keytruda</t>
        </is>
      </c>
      <c r="E116" s="2" t="inlineStr">
        <is>
          <t>KEYTRUDA, in combination with pemetrexed and platinum chemotherapy, is indicated for the first-line treatment of patients with metastatic nonsquamous non-small cell lung cancer (NSCLC), with no EGFR or ALK genomic tumor aberrations.</t>
        </is>
      </c>
      <c r="F116" s="2" t="b">
        <v>1</v>
      </c>
      <c r="G116" s="2" t="inlineStr">
        <is>
          <t>keytruda-v228:1-nonsmallcelllungcancer:p1</t>
        </is>
      </c>
    </row>
    <row r="117">
      <c r="A117" s="2" t="inlineStr">
        <is>
          <t>PE-20-2</t>
        </is>
      </c>
      <c r="B117" s="2" t="inlineStr">
        <is>
          <t>F20</t>
        </is>
      </c>
      <c r="C117" s="2" t="inlineStr">
        <is>
          <t>development</t>
        </is>
      </c>
      <c r="D117" s="2" t="inlineStr">
        <is>
          <t>keytruda</t>
        </is>
      </c>
      <c r="E117" s="2" t="inlineStr">
        <is>
          <t>KEYTRUDA with pemetrexed and platinum chemotherapy is indicated as first-line treatment for metastatic nonsquamous NSCLC without EGFR or ALK genomic tumor aberrations.</t>
        </is>
      </c>
      <c r="F117" s="2" t="b">
        <v>1</v>
      </c>
      <c r="G117" s="2" t="inlineStr">
        <is>
          <t>keytruda-v228:1-nonsmallcelllungcancer:p1</t>
        </is>
      </c>
    </row>
    <row r="118">
      <c r="A118" s="2" t="inlineStr">
        <is>
          <t>PE-20-3</t>
        </is>
      </c>
      <c r="B118" s="2" t="inlineStr">
        <is>
          <t>F20</t>
        </is>
      </c>
      <c r="C118" s="2" t="inlineStr">
        <is>
          <t>development</t>
        </is>
      </c>
      <c r="D118" s="2" t="inlineStr">
        <is>
          <t>keytruda</t>
        </is>
      </c>
      <c r="E118" s="2" t="inlineStr">
        <is>
          <t>KEYTRUDA alone is indicated as first-line treatment for all non-small cell lung cancer patients regardless of biomarkers or disease setting.</t>
        </is>
      </c>
      <c r="F118" s="2" t="b">
        <v>0</v>
      </c>
      <c r="G118" s="2" t="inlineStr">
        <is>
          <t>keytruda-v228:1-nonsmallcelllungcancer:p1</t>
        </is>
      </c>
    </row>
    <row r="119">
      <c r="A119" s="2" t="inlineStr">
        <is>
          <t>PE-20-4</t>
        </is>
      </c>
      <c r="B119" s="2" t="inlineStr">
        <is>
          <t>F20</t>
        </is>
      </c>
      <c r="C119" s="2" t="inlineStr">
        <is>
          <t>development</t>
        </is>
      </c>
      <c r="D119" s="2" t="inlineStr">
        <is>
          <t>keytruda</t>
        </is>
      </c>
      <c r="E119" s="2" t="inlineStr">
        <is>
          <t>KEYTRUDA with pemetrexed and platinum chemotherapy is indicated for every child with EGFR-positive early-stage NSCLC.</t>
        </is>
      </c>
      <c r="F119" s="2" t="b">
        <v>0</v>
      </c>
      <c r="G119" s="2" t="inlineStr">
        <is>
          <t>keytruda-v228:1-nonsmallcelllungcancer:p1</t>
        </is>
      </c>
    </row>
    <row r="120">
      <c r="A120" s="2" t="inlineStr">
        <is>
          <t>PE-20-5</t>
        </is>
      </c>
      <c r="B120" s="2" t="inlineStr">
        <is>
          <t>F20</t>
        </is>
      </c>
      <c r="C120" s="2" t="inlineStr">
        <is>
          <t>development</t>
        </is>
      </c>
      <c r="D120" s="2" t="inlineStr">
        <is>
          <t>keytruda</t>
        </is>
      </c>
      <c r="E120" s="2" t="inlineStr">
        <is>
          <t>KEYTRUDA, in combination with pemetrexed and platinum chemotherapy, is indicated for the first-line treatment of patients with metastatic nonsquamous non-small cell lung cancer (NSCLC), with no EGFR or ALK genomic tumor aberrations and is superior to all alternative medicines.</t>
        </is>
      </c>
      <c r="F120" s="2" t="b">
        <v>0</v>
      </c>
      <c r="G120" s="2" t="inlineStr">
        <is>
          <t>keytruda-v228:1-nonsmallcelllungcancer:p1</t>
        </is>
      </c>
    </row>
    <row r="121">
      <c r="A121" s="2" t="inlineStr">
        <is>
          <t>PE-20-6</t>
        </is>
      </c>
      <c r="B121" s="2" t="inlineStr">
        <is>
          <t>F20</t>
        </is>
      </c>
      <c r="C121" s="2" t="inlineStr">
        <is>
          <t>development</t>
        </is>
      </c>
      <c r="D121" s="2" t="inlineStr">
        <is>
          <t>keytruda</t>
        </is>
      </c>
      <c r="E121" s="2" t="inlineStr">
        <is>
          <t>KEYTRUDA, in combination with pemetrexed and platinum chemotherapy, is indicated for the first-line treatment of patients with metastatic nonsquamous non-small cell lung cancer (NSCLC), with no EGFR or ALK genomic tumor aberrations and guarantees a complete cure without any adverse reactions.</t>
        </is>
      </c>
      <c r="F121" s="2" t="b">
        <v>0</v>
      </c>
      <c r="G121" s="2" t="inlineStr">
        <is>
          <t>keytruda-v228:1-nonsmallcelllungcancer:p1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2026-10-16T14:33:49Z</dcterms:created>
  <dcterms:modified xsi:type="dcterms:W3CDTF">2026-10-16T14:33:49Z</dcterms:modified>
</cp:coreProperties>
</file>